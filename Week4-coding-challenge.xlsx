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rjun\Downloads\"/>
    </mc:Choice>
  </mc:AlternateContent>
  <xr:revisionPtr revIDLastSave="0" documentId="13_ncr:1_{6EE400DE-175D-4239-BFCB-D5A06CDB4261}" xr6:coauthVersionLast="47" xr6:coauthVersionMax="47" xr10:uidLastSave="{00000000-0000-0000-0000-000000000000}"/>
  <bookViews>
    <workbookView xWindow="-108" yWindow="-108" windowWidth="23256" windowHeight="13176" tabRatio="500" firstSheet="6" activeTab="6" xr2:uid="{00000000-000D-0000-FFFF-FFFF00000000}"/>
  </bookViews>
  <sheets>
    <sheet name="Sales" sheetId="1" r:id="rId1"/>
    <sheet name="Products" sheetId="2" r:id="rId2"/>
    <sheet name="Regions" sheetId="3" r:id="rId3"/>
    <sheet name="TOTAL SALES" sheetId="6" r:id="rId4"/>
    <sheet name="Pivot Tables" sheetId="15" r:id="rId5"/>
    <sheet name="Dashboard" sheetId="16" r:id="rId6"/>
    <sheet name="Documentation" sheetId="17" r:id="rId7"/>
  </sheets>
  <definedNames>
    <definedName name="_xlnm._FilterDatabase" localSheetId="0" hidden="1">Sales!$B$1:$H$45</definedName>
    <definedName name="Slicer_Category">#N/A</definedName>
    <definedName name="Slicer_Order_month">#N/A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6" l="1"/>
  <c r="G3" i="6"/>
  <c r="G4" i="6"/>
  <c r="G5" i="6"/>
  <c r="G6" i="6"/>
  <c r="G7" i="6"/>
  <c r="G8" i="6"/>
  <c r="G9" i="6"/>
  <c r="G10" i="6"/>
  <c r="I2" i="6"/>
  <c r="I3" i="6"/>
  <c r="I4" i="6"/>
  <c r="I5" i="6"/>
  <c r="I6" i="6"/>
  <c r="I7" i="6"/>
  <c r="I8" i="6"/>
  <c r="I9" i="6"/>
  <c r="I10" i="6"/>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2" i="1"/>
  <c r="H3" i="6" l="1"/>
  <c r="H4" i="6"/>
  <c r="H5" i="6"/>
  <c r="H6" i="6"/>
  <c r="H7" i="6"/>
  <c r="H8" i="6"/>
  <c r="H9" i="6"/>
  <c r="H10" i="6"/>
  <c r="H2" i="6"/>
  <c r="F3" i="6"/>
  <c r="F4" i="6"/>
  <c r="F5" i="6"/>
  <c r="F6" i="6"/>
  <c r="F7" i="6"/>
  <c r="F8" i="6"/>
  <c r="F9" i="6"/>
  <c r="F10" i="6"/>
  <c r="F2" i="6"/>
  <c r="E3" i="6"/>
  <c r="E4" i="6"/>
  <c r="E5" i="6"/>
  <c r="E6" i="6"/>
  <c r="E7" i="6"/>
  <c r="E8" i="6"/>
  <c r="E9" i="6"/>
  <c r="E10" i="6"/>
  <c r="E2" i="6"/>
  <c r="D3" i="6"/>
  <c r="D4" i="6"/>
  <c r="D5" i="6"/>
  <c r="D6" i="6"/>
  <c r="D7" i="6"/>
  <c r="D8" i="6"/>
  <c r="D9" i="6"/>
  <c r="D10" i="6"/>
  <c r="D2" i="6"/>
  <c r="C3" i="6"/>
  <c r="C4" i="6"/>
  <c r="C5" i="6"/>
  <c r="C6" i="6"/>
  <c r="C7" i="6"/>
  <c r="C8" i="6"/>
  <c r="C9" i="6"/>
  <c r="C10" i="6"/>
  <c r="C2" i="6"/>
  <c r="B3" i="6"/>
  <c r="B4" i="6"/>
  <c r="B5" i="6"/>
  <c r="B6" i="6"/>
  <c r="B7" i="6"/>
  <c r="B8" i="6"/>
  <c r="B9" i="6"/>
  <c r="B10" i="6"/>
  <c r="B2" i="6"/>
  <c r="C3" i="3"/>
  <c r="C4" i="3"/>
  <c r="C5" i="3"/>
  <c r="C2" i="3"/>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2" i="1"/>
</calcChain>
</file>

<file path=xl/sharedStrings.xml><?xml version="1.0" encoding="utf-8"?>
<sst xmlns="http://schemas.openxmlformats.org/spreadsheetml/2006/main" count="285" uniqueCount="153">
  <si>
    <t>OrderDate</t>
  </si>
  <si>
    <t>ProductID</t>
  </si>
  <si>
    <t>Quantity</t>
  </si>
  <si>
    <t>SalesAmount</t>
  </si>
  <si>
    <t>ORD-1000</t>
  </si>
  <si>
    <t>2023-01-05</t>
  </si>
  <si>
    <t>P009</t>
  </si>
  <si>
    <t>ORD-1002</t>
  </si>
  <si>
    <t>P001</t>
  </si>
  <si>
    <t>ORD-1003</t>
  </si>
  <si>
    <t>2023-02-03</t>
  </si>
  <si>
    <t>P003</t>
  </si>
  <si>
    <t>ORD-1004</t>
  </si>
  <si>
    <t>P002</t>
  </si>
  <si>
    <t>ORD-1005</t>
  </si>
  <si>
    <t>2023-02-28</t>
  </si>
  <si>
    <t>P005</t>
  </si>
  <si>
    <t>ORD-1006</t>
  </si>
  <si>
    <t>2023-03-10</t>
  </si>
  <si>
    <t>P007</t>
  </si>
  <si>
    <t>ORD-1008</t>
  </si>
  <si>
    <t>2023-04-01</t>
  </si>
  <si>
    <t>P006</t>
  </si>
  <si>
    <t>ORD-1009</t>
  </si>
  <si>
    <t>2023-04-15</t>
  </si>
  <si>
    <t>ORD-1010</t>
  </si>
  <si>
    <t>2023-04-30</t>
  </si>
  <si>
    <t>ORD-1011</t>
  </si>
  <si>
    <t>2023-05-05</t>
  </si>
  <si>
    <t>ORD-1012</t>
  </si>
  <si>
    <t>P004</t>
  </si>
  <si>
    <t>ORD-1013</t>
  </si>
  <si>
    <t>2023-05-22</t>
  </si>
  <si>
    <t>ORD-1014</t>
  </si>
  <si>
    <t>2023-06-08</t>
  </si>
  <si>
    <t>ORD-1015</t>
  </si>
  <si>
    <t>2023-06-18</t>
  </si>
  <si>
    <t>ORD-1016</t>
  </si>
  <si>
    <t>2023-06-30</t>
  </si>
  <si>
    <t>ORD-1017</t>
  </si>
  <si>
    <t>2023-07-04</t>
  </si>
  <si>
    <t>ORD-1018</t>
  </si>
  <si>
    <t>ORD-1019</t>
  </si>
  <si>
    <t>2023-07-28</t>
  </si>
  <si>
    <t>ORD-1020</t>
  </si>
  <si>
    <t>2023-08-05</t>
  </si>
  <si>
    <t>ORD-1021</t>
  </si>
  <si>
    <t>ORD-1022</t>
  </si>
  <si>
    <t>2023-08-25</t>
  </si>
  <si>
    <t>ORD-1023</t>
  </si>
  <si>
    <t>2023-09-03</t>
  </si>
  <si>
    <t>ORD-1024</t>
  </si>
  <si>
    <t>2023-09-18</t>
  </si>
  <si>
    <t>ORD-1025</t>
  </si>
  <si>
    <t>2023-09-30</t>
  </si>
  <si>
    <t>ORD-1026</t>
  </si>
  <si>
    <t>2023-10-10</t>
  </si>
  <si>
    <t>ORD-1027</t>
  </si>
  <si>
    <t>ORD-1028</t>
  </si>
  <si>
    <t>2023-11-20</t>
  </si>
  <si>
    <t>ORD-1030</t>
  </si>
  <si>
    <t>2023-11-30</t>
  </si>
  <si>
    <t>ORD-1031</t>
  </si>
  <si>
    <t>ORD-1033</t>
  </si>
  <si>
    <t>2023-12-25</t>
  </si>
  <si>
    <t>ORD-1034</t>
  </si>
  <si>
    <t>2023-12-31</t>
  </si>
  <si>
    <t>P008</t>
  </si>
  <si>
    <t>ORD-1035</t>
  </si>
  <si>
    <t>2023-01-18</t>
  </si>
  <si>
    <t>ORD-1036</t>
  </si>
  <si>
    <t>2023-02-11</t>
  </si>
  <si>
    <t>ORD-1037</t>
  </si>
  <si>
    <t>2023-03-22</t>
  </si>
  <si>
    <t>ORD-1038</t>
  </si>
  <si>
    <t>2023-07-07</t>
  </si>
  <si>
    <t>ORD-1039</t>
  </si>
  <si>
    <t>2023-09-09</t>
  </si>
  <si>
    <t>ORD-1040</t>
  </si>
  <si>
    <t>2023-06-03</t>
  </si>
  <si>
    <t>ORD-1042</t>
  </si>
  <si>
    <t>2023-08-19</t>
  </si>
  <si>
    <t>ORD-1043</t>
  </si>
  <si>
    <t>2023-10-31</t>
  </si>
  <si>
    <t>ORD-1044</t>
  </si>
  <si>
    <t>2023-03-07</t>
  </si>
  <si>
    <t>ORD-1046</t>
  </si>
  <si>
    <t>2023-02-20</t>
  </si>
  <si>
    <t>ORD-1047</t>
  </si>
  <si>
    <t>2023-11-11</t>
  </si>
  <si>
    <t>ORD-1048</t>
  </si>
  <si>
    <t>2023-12-12</t>
  </si>
  <si>
    <t>ORD-1049</t>
  </si>
  <si>
    <t>ProductName</t>
  </si>
  <si>
    <t>Category</t>
  </si>
  <si>
    <t>Wireless Mouse</t>
  </si>
  <si>
    <t>Electronics</t>
  </si>
  <si>
    <t>USB-C Hub</t>
  </si>
  <si>
    <t>Desk Lamp</t>
  </si>
  <si>
    <t>Home &amp; Office</t>
  </si>
  <si>
    <t>Notebook Set</t>
  </si>
  <si>
    <t>Stationery</t>
  </si>
  <si>
    <t>Bluetooth Speaker</t>
  </si>
  <si>
    <t>Standing Desk</t>
  </si>
  <si>
    <t>Furniture</t>
  </si>
  <si>
    <t>Webcam HD</t>
  </si>
  <si>
    <t>Ergonomic Chair</t>
  </si>
  <si>
    <t>Pen Drive 64GB</t>
  </si>
  <si>
    <t>RegionID</t>
  </si>
  <si>
    <t>RegionName</t>
  </si>
  <si>
    <t>R01</t>
  </si>
  <si>
    <t>North</t>
  </si>
  <si>
    <t>R02</t>
  </si>
  <si>
    <t>south</t>
  </si>
  <si>
    <t>R03</t>
  </si>
  <si>
    <t>East</t>
  </si>
  <si>
    <t>R04</t>
  </si>
  <si>
    <t>WEST</t>
  </si>
  <si>
    <t>order ID</t>
  </si>
  <si>
    <t>Row Labels</t>
  </si>
  <si>
    <t>Grand Total</t>
  </si>
  <si>
    <t>Sum of SalesAmount</t>
  </si>
  <si>
    <t>Order month</t>
  </si>
  <si>
    <t>Weekday</t>
  </si>
  <si>
    <t>OrderDate2</t>
  </si>
  <si>
    <t>Quantity3</t>
  </si>
  <si>
    <t>SalesAmount4</t>
  </si>
  <si>
    <t>Top Product</t>
  </si>
  <si>
    <t>Column Labels</t>
  </si>
  <si>
    <t>Sunday</t>
  </si>
  <si>
    <t>Monday</t>
  </si>
  <si>
    <t>Tuesday</t>
  </si>
  <si>
    <t>Thursday</t>
  </si>
  <si>
    <t>Friday</t>
  </si>
  <si>
    <t>Saturday</t>
  </si>
  <si>
    <t>Mar</t>
  </si>
  <si>
    <t>Region</t>
  </si>
  <si>
    <t>Jan</t>
  </si>
  <si>
    <t>Feb</t>
  </si>
  <si>
    <t>Apr</t>
  </si>
  <si>
    <t>May</t>
  </si>
  <si>
    <t>Dec</t>
  </si>
  <si>
    <t>South</t>
  </si>
  <si>
    <t>West</t>
  </si>
  <si>
    <t>Monthly Sales</t>
  </si>
  <si>
    <t>Weekely Sale</t>
  </si>
  <si>
    <t>Region &amp; Category Wise</t>
  </si>
  <si>
    <t>Date &amp; Time Functions</t>
  </si>
  <si>
    <t>Connecting Multiple Tables</t>
  </si>
  <si>
    <t>Pivot Table Features</t>
  </si>
  <si>
    <t>. I used specific function for ordering date, month, week. I used Function like "TEXT()","MONTH()","YEAR()". This help me identify the trends like monthley,and Weekly.</t>
  </si>
  <si>
    <t>. In the use of pivot table we can handle large data in to needfull table, Also grouping and slicing healped report become user friendly.</t>
  </si>
  <si>
    <t xml:space="preserve">. I used LOOKUP for connecting multiple table.This feature connect multiple data basse into a single sheet.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</si>
</sst>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dd/mm/yy;@"/>
  </numFmts>
  <fonts count="11" x14ac:knownFonts="1">
    <font>
      <sz val="11"/>
      <color theme="1"/>
      <name val="Calibri"/>
      <family val="2"/>
      <charset val="1"/>
    </font>
    <font>
      <sz val="11"/>
      <color theme="1"/>
      <name val="Gill Sans MT"/>
      <family val="2"/>
      <scheme val="minor"/>
    </font>
    <font>
      <b/>
      <sz val="11"/>
      <color rgb="FFFFFFFF"/>
      <name val="Arial"/>
      <charset val="1"/>
    </font>
    <font>
      <sz val="10"/>
      <name val="Arial"/>
      <charset val="1"/>
    </font>
    <font>
      <sz val="10"/>
      <name val="Arial"/>
      <family val="2"/>
    </font>
    <font>
      <b/>
      <sz val="11"/>
      <color rgb="FFFFFFFF"/>
      <name val="Arial"/>
      <family val="2"/>
    </font>
    <font>
      <b/>
      <sz val="11"/>
      <color rgb="FFFFFFFF"/>
      <name val="Arial"/>
      <family val="2"/>
      <charset val="1"/>
    </font>
    <font>
      <b/>
      <sz val="11"/>
      <color theme="1"/>
      <name val="Calibri"/>
      <family val="2"/>
      <charset val="1"/>
    </font>
    <font>
      <b/>
      <sz val="18"/>
      <color theme="8" tint="-0.499984740745262"/>
      <name val="Calibri"/>
      <family val="2"/>
    </font>
    <font>
      <b/>
      <sz val="11"/>
      <color theme="1"/>
      <name val="Calibri"/>
      <family val="2"/>
    </font>
    <font>
      <b/>
      <sz val="12"/>
      <color theme="1"/>
      <name val="Arial Black"/>
      <family val="2"/>
    </font>
  </fonts>
  <fills count="9">
    <fill>
      <patternFill patternType="none"/>
    </fill>
    <fill>
      <patternFill patternType="gray125"/>
    </fill>
    <fill>
      <patternFill patternType="solid">
        <fgColor rgb="FF2E75B6"/>
        <bgColor rgb="FF0066CC"/>
      </patternFill>
    </fill>
    <fill>
      <patternFill patternType="solid">
        <fgColor rgb="FFEBF3FB"/>
        <bgColor rgb="FFFFFFFF"/>
      </patternFill>
    </fill>
    <fill>
      <patternFill patternType="solid">
        <fgColor rgb="FFFFFFFF"/>
        <bgColor rgb="FFEBF3FB"/>
      </patternFill>
    </fill>
    <fill>
      <patternFill patternType="solid">
        <fgColor rgb="FFFF6600"/>
        <bgColor rgb="FFFF9900"/>
      </patternFill>
    </fill>
    <fill>
      <patternFill patternType="solid">
        <fgColor theme="9" tint="-0.249977111117893"/>
        <bgColor rgb="FFFFFFFF"/>
      </patternFill>
    </fill>
    <fill>
      <patternFill patternType="solid">
        <fgColor theme="9" tint="0.79998168889431442"/>
        <bgColor indexed="64"/>
      </patternFill>
    </fill>
    <fill>
      <patternFill patternType="solid">
        <fgColor theme="8" tint="0.79998168889431442"/>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0" fontId="1" fillId="0" borderId="0"/>
  </cellStyleXfs>
  <cellXfs count="66">
    <xf numFmtId="0" fontId="0" fillId="0" borderId="0" xfId="0"/>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3" borderId="1" xfId="0" applyFont="1" applyFill="1" applyBorder="1" applyAlignment="1">
      <alignment horizontal="left" vertical="center"/>
    </xf>
    <xf numFmtId="0" fontId="3" fillId="4" borderId="1" xfId="0" applyFont="1" applyFill="1" applyBorder="1" applyAlignment="1">
      <alignment horizontal="left" vertical="center"/>
    </xf>
    <xf numFmtId="14" fontId="3" fillId="3"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164" fontId="3" fillId="3" borderId="1" xfId="0" applyNumberFormat="1" applyFont="1" applyFill="1" applyBorder="1" applyAlignment="1">
      <alignment horizontal="center" vertical="center"/>
    </xf>
    <xf numFmtId="164" fontId="3" fillId="4" borderId="1" xfId="0" applyNumberFormat="1" applyFont="1" applyFill="1" applyBorder="1" applyAlignment="1">
      <alignment horizontal="center" vertical="center"/>
    </xf>
    <xf numFmtId="164" fontId="3" fillId="5" borderId="1" xfId="0" applyNumberFormat="1" applyFont="1" applyFill="1" applyBorder="1" applyAlignment="1">
      <alignment horizontal="center" vertical="center"/>
    </xf>
    <xf numFmtId="16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0" borderId="5" xfId="0" applyBorder="1"/>
    <xf numFmtId="0" fontId="2" fillId="2" borderId="8" xfId="0" applyFont="1" applyFill="1" applyBorder="1" applyAlignment="1">
      <alignment horizontal="center" vertical="center"/>
    </xf>
    <xf numFmtId="0" fontId="0" fillId="0" borderId="1" xfId="0" applyBorder="1"/>
    <xf numFmtId="0" fontId="0" fillId="0" borderId="9" xfId="0" applyBorder="1"/>
    <xf numFmtId="0" fontId="3" fillId="3" borderId="10" xfId="0" applyFont="1" applyFill="1" applyBorder="1" applyAlignment="1">
      <alignment horizontal="center" vertical="center"/>
    </xf>
    <xf numFmtId="0" fontId="0" fillId="0" borderId="11" xfId="0" applyBorder="1"/>
    <xf numFmtId="14" fontId="0" fillId="0" borderId="0" xfId="0" applyNumberFormat="1"/>
    <xf numFmtId="0" fontId="6" fillId="2" borderId="4" xfId="0" applyFont="1" applyFill="1" applyBorder="1" applyAlignment="1">
      <alignment horizontal="center" vertical="center"/>
    </xf>
    <xf numFmtId="14" fontId="2" fillId="2" borderId="4" xfId="0" applyNumberFormat="1" applyFont="1" applyFill="1" applyBorder="1" applyAlignment="1">
      <alignment horizontal="center" vertical="center"/>
    </xf>
    <xf numFmtId="0" fontId="5" fillId="2" borderId="4" xfId="0" applyFont="1" applyFill="1" applyBorder="1" applyAlignment="1">
      <alignment horizontal="center" vertical="center"/>
    </xf>
    <xf numFmtId="0" fontId="0" fillId="7" borderId="5" xfId="0" applyFill="1" applyBorder="1"/>
    <xf numFmtId="0" fontId="0" fillId="7" borderId="6" xfId="0" applyFill="1" applyBorder="1"/>
    <xf numFmtId="0" fontId="0" fillId="7" borderId="10" xfId="0" applyFill="1" applyBorder="1"/>
    <xf numFmtId="0" fontId="0" fillId="7" borderId="1" xfId="0" applyFill="1" applyBorder="1"/>
    <xf numFmtId="0" fontId="0" fillId="7" borderId="0" xfId="0" applyFill="1"/>
    <xf numFmtId="0" fontId="0" fillId="7" borderId="13" xfId="0" applyFill="1" applyBorder="1"/>
    <xf numFmtId="0" fontId="0" fillId="7" borderId="1" xfId="0" applyFill="1" applyBorder="1" applyAlignment="1">
      <alignment horizontal="left"/>
    </xf>
    <xf numFmtId="0" fontId="0" fillId="7" borderId="7" xfId="0" applyFill="1" applyBorder="1"/>
    <xf numFmtId="0" fontId="0" fillId="7" borderId="8" xfId="0" applyFill="1" applyBorder="1"/>
    <xf numFmtId="0" fontId="0" fillId="7" borderId="12" xfId="0" applyFill="1" applyBorder="1"/>
    <xf numFmtId="0" fontId="0" fillId="7" borderId="3" xfId="0" applyFill="1" applyBorder="1"/>
    <xf numFmtId="0" fontId="7" fillId="7" borderId="0" xfId="0" applyFont="1" applyFill="1"/>
    <xf numFmtId="0" fontId="0" fillId="7" borderId="11" xfId="0" applyFill="1" applyBorder="1" applyAlignment="1">
      <alignment horizontal="left"/>
    </xf>
    <xf numFmtId="0" fontId="0" fillId="7" borderId="11" xfId="0" applyFill="1" applyBorder="1"/>
    <xf numFmtId="0" fontId="0" fillId="7" borderId="14" xfId="0" applyFill="1" applyBorder="1" applyAlignment="1">
      <alignment horizontal="left"/>
    </xf>
    <xf numFmtId="0" fontId="0" fillId="7" borderId="14" xfId="0" applyFill="1" applyBorder="1"/>
    <xf numFmtId="0" fontId="0" fillId="7" borderId="4" xfId="0" applyFill="1" applyBorder="1" applyAlignment="1">
      <alignment horizontal="left"/>
    </xf>
    <xf numFmtId="0" fontId="0" fillId="7" borderId="4" xfId="0" applyFill="1" applyBorder="1"/>
    <xf numFmtId="0" fontId="8" fillId="7" borderId="5" xfId="0" applyFont="1" applyFill="1" applyBorder="1" applyAlignment="1">
      <alignment horizontal="center" vertical="top"/>
    </xf>
    <xf numFmtId="0" fontId="8" fillId="7" borderId="10" xfId="0" applyFont="1" applyFill="1" applyBorder="1" applyAlignment="1">
      <alignment horizontal="center" vertical="top"/>
    </xf>
    <xf numFmtId="0" fontId="8" fillId="7" borderId="8" xfId="0" applyFont="1" applyFill="1" applyBorder="1" applyAlignment="1">
      <alignment horizontal="center" vertical="top"/>
    </xf>
    <xf numFmtId="0" fontId="8" fillId="7" borderId="3" xfId="0" applyFont="1" applyFill="1" applyBorder="1" applyAlignment="1">
      <alignment horizontal="center" vertical="top"/>
    </xf>
    <xf numFmtId="0" fontId="8" fillId="7" borderId="5" xfId="0" applyFont="1" applyFill="1" applyBorder="1" applyAlignment="1">
      <alignment horizontal="center" vertical="center"/>
    </xf>
    <xf numFmtId="0" fontId="8" fillId="7" borderId="10" xfId="0" applyFont="1" applyFill="1" applyBorder="1" applyAlignment="1">
      <alignment horizontal="center" vertical="center"/>
    </xf>
    <xf numFmtId="0" fontId="8" fillId="7" borderId="7" xfId="0" applyFont="1" applyFill="1" applyBorder="1" applyAlignment="1">
      <alignment horizontal="center" vertical="center"/>
    </xf>
    <xf numFmtId="0" fontId="8" fillId="7" borderId="13"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3" xfId="0" applyFont="1" applyFill="1" applyBorder="1" applyAlignment="1">
      <alignment horizontal="center" vertical="center"/>
    </xf>
    <xf numFmtId="0" fontId="8" fillId="7" borderId="5" xfId="0" applyFont="1" applyFill="1" applyBorder="1" applyAlignment="1">
      <alignment horizontal="center" vertical="center" wrapText="1"/>
    </xf>
    <xf numFmtId="0" fontId="8" fillId="7" borderId="10" xfId="0" applyFont="1" applyFill="1" applyBorder="1" applyAlignment="1">
      <alignment horizontal="center" vertical="center" wrapText="1"/>
    </xf>
    <xf numFmtId="0" fontId="8" fillId="7" borderId="7" xfId="0" applyFont="1" applyFill="1" applyBorder="1" applyAlignment="1">
      <alignment horizontal="center" vertical="center" wrapText="1"/>
    </xf>
    <xf numFmtId="0" fontId="8" fillId="7" borderId="13" xfId="0" applyFont="1" applyFill="1" applyBorder="1" applyAlignment="1">
      <alignment horizontal="center" vertical="center" wrapText="1"/>
    </xf>
    <xf numFmtId="0" fontId="8" fillId="7" borderId="8"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10" fillId="8" borderId="0" xfId="1" applyFont="1" applyFill="1" applyAlignment="1">
      <alignment vertical="center"/>
    </xf>
    <xf numFmtId="0" fontId="9" fillId="8" borderId="0" xfId="0" applyFont="1" applyFill="1"/>
    <xf numFmtId="0" fontId="0" fillId="8" borderId="0" xfId="0" applyFill="1"/>
  </cellXfs>
  <cellStyles count="2">
    <cellStyle name="Normal" xfId="0" builtinId="0"/>
    <cellStyle name="Normal 2" xfId="1" xr:uid="{698249D3-9F4D-49B6-9AEA-2B911C5B42E2}"/>
  </cellStyles>
  <dxfs count="107">
    <dxf>
      <font>
        <color rgb="FF0070C0"/>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rial"/>
        <charset val="1"/>
        <scheme val="none"/>
      </font>
      <fill>
        <patternFill patternType="solid">
          <fgColor rgb="FFFFFFFF"/>
          <bgColor rgb="FFEBF3FB"/>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rgb="FFFFFFFF"/>
        <name val="Arial"/>
        <charset val="1"/>
        <scheme val="none"/>
      </font>
      <fill>
        <patternFill patternType="solid">
          <fgColor rgb="FF0066CC"/>
          <bgColor rgb="FF2E75B6"/>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auto="1"/>
        <name val="Arial"/>
        <charset val="1"/>
        <scheme val="none"/>
      </font>
      <fill>
        <patternFill patternType="solid">
          <fgColor rgb="FFFFFFFF"/>
          <bgColor rgb="FFEBF3F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charset val="1"/>
        <scheme val="none"/>
      </font>
      <fill>
        <patternFill patternType="solid">
          <fgColor rgb="FFEBF3FB"/>
          <bgColor rgb="FFFFFFFF"/>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charset val="1"/>
        <scheme val="none"/>
      </font>
      <fill>
        <patternFill patternType="solid">
          <fgColor rgb="FFFFFFFF"/>
          <bgColor rgb="FFEBF3F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charset val="1"/>
        <scheme val="none"/>
      </font>
      <fill>
        <patternFill patternType="solid">
          <fgColor rgb="FFEBF3FB"/>
          <bgColor rgb="FFFFFFFF"/>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family val="2"/>
        <scheme val="none"/>
      </font>
      <fill>
        <patternFill patternType="solid">
          <fgColor rgb="FFFFFFFF"/>
          <bgColor rgb="FFEBF3F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charset val="1"/>
        <scheme val="none"/>
      </font>
      <fill>
        <patternFill patternType="solid">
          <fgColor rgb="FFFFFFFF"/>
          <bgColor rgb="FFEBF3F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charset val="1"/>
        <scheme val="none"/>
      </font>
      <numFmt numFmtId="19" formatCode="dd/mm/yyyy"/>
      <fill>
        <patternFill patternType="solid">
          <fgColor rgb="FFFFFFFF"/>
          <bgColor rgb="FFEBF3FB"/>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charset val="1"/>
        <scheme val="none"/>
      </font>
      <numFmt numFmtId="164" formatCode="[$-14009]dd/mm/yy;@"/>
      <fill>
        <patternFill patternType="solid">
          <fgColor rgb="FFEBF3FB"/>
          <bgColor rgb="FFFFFFFF"/>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charset val="1"/>
        <scheme val="none"/>
      </font>
      <fill>
        <patternFill patternType="solid">
          <fgColor rgb="FFEBF3FB"/>
          <bgColor rgb="FFFFFFFF"/>
        </patternFill>
      </fill>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left style="thin">
          <color auto="1"/>
        </left>
        <top style="thin">
          <color auto="1"/>
        </top>
      </border>
    </dxf>
    <dxf>
      <border outline="0">
        <bottom style="thin">
          <color auto="1"/>
        </bottom>
      </border>
    </dxf>
    <dxf>
      <font>
        <b/>
        <i val="0"/>
        <strike val="0"/>
        <condense val="0"/>
        <extend val="0"/>
        <outline val="0"/>
        <shadow val="0"/>
        <u val="none"/>
        <vertAlign val="baseline"/>
        <sz val="11"/>
        <color rgb="FFFFFFFF"/>
        <name val="Arial"/>
        <charset val="1"/>
        <scheme val="none"/>
      </font>
      <fill>
        <patternFill patternType="solid">
          <fgColor rgb="FF0066CC"/>
          <bgColor rgb="FF2E75B6"/>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1" defaultTableStyle="TableStyleMedium2" defaultPivotStyle="PivotStyleLight16">
    <tableStyle name="Slicer Style 1" pivot="0" table="0" count="1" xr9:uid="{B07D0E2C-405E-4B95-AE98-812843977174}">
      <tableStyleElement type="wholeTable" dxfId="0"/>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[Week4_Uncleaned_Dataset.xlsx]Pivot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cat>
            <c:strRef>
              <c:f>'Pivot Tables'!$A$4:$A$10</c:f>
              <c:strCache>
                <c:ptCount val="6"/>
                <c:pt idx="0">
                  <c:v>Jan</c:v>
                </c:pt>
                <c:pt idx="1">
                  <c:v>Feb</c:v>
                </c:pt>
                <c:pt idx="2">
                  <c:v>Mar</c:v>
                </c:pt>
                <c:pt idx="3">
                  <c:v>Apr</c:v>
                </c:pt>
                <c:pt idx="4">
                  <c:v>May</c:v>
                </c:pt>
                <c:pt idx="5">
                  <c:v>Dec</c:v>
                </c:pt>
              </c:strCache>
            </c:strRef>
          </c:cat>
          <c:val>
            <c:numRef>
              <c:f>'Pivot Tables'!$B$4:$B$10</c:f>
              <c:numCache>
                <c:formatCode>General</c:formatCode>
                <c:ptCount val="6"/>
                <c:pt idx="0">
                  <c:v>1950</c:v>
                </c:pt>
                <c:pt idx="1">
                  <c:v>12428</c:v>
                </c:pt>
                <c:pt idx="2">
                  <c:v>300</c:v>
                </c:pt>
                <c:pt idx="3">
                  <c:v>900</c:v>
                </c:pt>
                <c:pt idx="4">
                  <c:v>4200</c:v>
                </c:pt>
                <c:pt idx="5">
                  <c:v>4500</c:v>
                </c:pt>
              </c:numCache>
            </c:numRef>
          </c:val>
          <c:smooth val="0"/>
          <c:extLst>
            <c:ext xmlns:c16="http://schemas.microsoft.com/office/drawing/2014/chart" uri="{C3380CC4-5D6E-409C-BE32-E72D297353CC}">
              <c16:uniqueId val="{00000000-72A8-4C47-95B6-BADF4980C5D4}"/>
            </c:ext>
          </c:extLst>
        </c:ser>
        <c:dLbls>
          <c:showLegendKey val="0"/>
          <c:showVal val="0"/>
          <c:showCatName val="0"/>
          <c:showSerName val="0"/>
          <c:showPercent val="0"/>
          <c:showBubbleSize val="0"/>
        </c:dLbls>
        <c:smooth val="0"/>
        <c:axId val="510470847"/>
        <c:axId val="510464127"/>
      </c:lineChart>
      <c:catAx>
        <c:axId val="51047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64127"/>
        <c:crosses val="autoZero"/>
        <c:auto val="1"/>
        <c:lblAlgn val="ctr"/>
        <c:lblOffset val="100"/>
        <c:noMultiLvlLbl val="0"/>
      </c:catAx>
      <c:valAx>
        <c:axId val="51046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7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[Week4_Uncleaned_Dataset.xlsx]Pivot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Tables'!$N$4</c:f>
              <c:strCache>
                <c:ptCount val="1"/>
                <c:pt idx="0">
                  <c:v>Total</c:v>
                </c:pt>
              </c:strCache>
            </c:strRef>
          </c:tx>
          <c:spPr>
            <a:ln w="28575" cap="rnd">
              <a:solidFill>
                <a:schemeClr val="accent1"/>
              </a:solidFill>
              <a:round/>
            </a:ln>
            <a:effectLst/>
          </c:spPr>
          <c:marker>
            <c:symbol val="none"/>
          </c:marker>
          <c:cat>
            <c:strRef>
              <c:f>'Pivot Tables'!$M$5:$M$11</c:f>
              <c:strCache>
                <c:ptCount val="6"/>
                <c:pt idx="0">
                  <c:v>Sunday</c:v>
                </c:pt>
                <c:pt idx="1">
                  <c:v>Monday</c:v>
                </c:pt>
                <c:pt idx="2">
                  <c:v>Tuesday</c:v>
                </c:pt>
                <c:pt idx="3">
                  <c:v>Thursday</c:v>
                </c:pt>
                <c:pt idx="4">
                  <c:v>Friday</c:v>
                </c:pt>
                <c:pt idx="5">
                  <c:v>Saturday</c:v>
                </c:pt>
              </c:strCache>
            </c:strRef>
          </c:cat>
          <c:val>
            <c:numRef>
              <c:f>'Pivot Tables'!$N$5:$N$11</c:f>
              <c:numCache>
                <c:formatCode>General</c:formatCode>
                <c:ptCount val="6"/>
                <c:pt idx="0">
                  <c:v>4950</c:v>
                </c:pt>
                <c:pt idx="1">
                  <c:v>4200</c:v>
                </c:pt>
                <c:pt idx="2">
                  <c:v>7500</c:v>
                </c:pt>
                <c:pt idx="3">
                  <c:v>3900</c:v>
                </c:pt>
                <c:pt idx="4">
                  <c:v>2828</c:v>
                </c:pt>
                <c:pt idx="5">
                  <c:v>900</c:v>
                </c:pt>
              </c:numCache>
            </c:numRef>
          </c:val>
          <c:smooth val="0"/>
          <c:extLst>
            <c:ext xmlns:c16="http://schemas.microsoft.com/office/drawing/2014/chart" uri="{C3380CC4-5D6E-409C-BE32-E72D297353CC}">
              <c16:uniqueId val="{00000000-BB06-46F0-869A-2F36FD510CD3}"/>
            </c:ext>
          </c:extLst>
        </c:ser>
        <c:dLbls>
          <c:showLegendKey val="0"/>
          <c:showVal val="0"/>
          <c:showCatName val="0"/>
          <c:showSerName val="0"/>
          <c:showPercent val="0"/>
          <c:showBubbleSize val="0"/>
        </c:dLbls>
        <c:smooth val="0"/>
        <c:axId val="510470367"/>
        <c:axId val="510487167"/>
      </c:lineChart>
      <c:catAx>
        <c:axId val="51047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87167"/>
        <c:crosses val="autoZero"/>
        <c:auto val="1"/>
        <c:lblAlgn val="ctr"/>
        <c:lblOffset val="100"/>
        <c:noMultiLvlLbl val="0"/>
      </c:catAx>
      <c:valAx>
        <c:axId val="51048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7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[Week4_Uncleaned_Dataset.xlsx]Pivot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Tables'!$B$19</c:f>
              <c:strCache>
                <c:ptCount val="1"/>
                <c:pt idx="0">
                  <c:v>Total</c:v>
                </c:pt>
              </c:strCache>
            </c:strRef>
          </c:tx>
          <c:spPr>
            <a:solidFill>
              <a:schemeClr val="accent1"/>
            </a:solidFill>
            <a:ln>
              <a:noFill/>
            </a:ln>
            <a:effectLst/>
          </c:spPr>
          <c:invertIfNegative val="0"/>
          <c:cat>
            <c:strRef>
              <c:f>'Pivot Tables'!$A$20:$A$24</c:f>
              <c:strCache>
                <c:ptCount val="4"/>
                <c:pt idx="0">
                  <c:v>Electronics</c:v>
                </c:pt>
                <c:pt idx="1">
                  <c:v>Furniture</c:v>
                </c:pt>
                <c:pt idx="2">
                  <c:v>Home &amp; Office</c:v>
                </c:pt>
                <c:pt idx="3">
                  <c:v>Stationery</c:v>
                </c:pt>
              </c:strCache>
            </c:strRef>
          </c:cat>
          <c:val>
            <c:numRef>
              <c:f>'Pivot Tables'!$B$20:$B$24</c:f>
              <c:numCache>
                <c:formatCode>General</c:formatCode>
                <c:ptCount val="4"/>
                <c:pt idx="0">
                  <c:v>12150</c:v>
                </c:pt>
                <c:pt idx="1">
                  <c:v>5400</c:v>
                </c:pt>
                <c:pt idx="2">
                  <c:v>2528</c:v>
                </c:pt>
                <c:pt idx="3">
                  <c:v>4200</c:v>
                </c:pt>
              </c:numCache>
            </c:numRef>
          </c:val>
          <c:extLst>
            <c:ext xmlns:c16="http://schemas.microsoft.com/office/drawing/2014/chart" uri="{C3380CC4-5D6E-409C-BE32-E72D297353CC}">
              <c16:uniqueId val="{00000000-0289-45DB-814C-3B7D4135A270}"/>
            </c:ext>
          </c:extLst>
        </c:ser>
        <c:dLbls>
          <c:showLegendKey val="0"/>
          <c:showVal val="0"/>
          <c:showCatName val="0"/>
          <c:showSerName val="0"/>
          <c:showPercent val="0"/>
          <c:showBubbleSize val="0"/>
        </c:dLbls>
        <c:gapWidth val="182"/>
        <c:axId val="510494367"/>
        <c:axId val="510490047"/>
      </c:barChart>
      <c:catAx>
        <c:axId val="51049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90047"/>
        <c:crosses val="autoZero"/>
        <c:auto val="1"/>
        <c:lblAlgn val="ctr"/>
        <c:lblOffset val="100"/>
        <c:noMultiLvlLbl val="0"/>
      </c:catAx>
      <c:valAx>
        <c:axId val="510490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9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[Week4_Uncleaned_Dataset.xlsx]Pivot Tables!PivotTable7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Tables'!$N$19:$N$20</c:f>
              <c:strCache>
                <c:ptCount val="1"/>
                <c:pt idx="0">
                  <c:v>Electronics</c:v>
                </c:pt>
              </c:strCache>
            </c:strRef>
          </c:tx>
          <c:spPr>
            <a:solidFill>
              <a:schemeClr val="accent1"/>
            </a:solidFill>
            <a:ln>
              <a:noFill/>
            </a:ln>
            <a:effectLst/>
          </c:spPr>
          <c:invertIfNegative val="0"/>
          <c:cat>
            <c:strRef>
              <c:f>'Pivot Tables'!$M$21:$M$25</c:f>
              <c:strCache>
                <c:ptCount val="4"/>
                <c:pt idx="0">
                  <c:v>East</c:v>
                </c:pt>
                <c:pt idx="1">
                  <c:v>North</c:v>
                </c:pt>
                <c:pt idx="2">
                  <c:v>South</c:v>
                </c:pt>
                <c:pt idx="3">
                  <c:v>West</c:v>
                </c:pt>
              </c:strCache>
            </c:strRef>
          </c:cat>
          <c:val>
            <c:numRef>
              <c:f>'Pivot Tables'!$N$21:$N$25</c:f>
              <c:numCache>
                <c:formatCode>General</c:formatCode>
                <c:ptCount val="4"/>
                <c:pt idx="0">
                  <c:v>2400</c:v>
                </c:pt>
                <c:pt idx="1">
                  <c:v>750</c:v>
                </c:pt>
                <c:pt idx="2">
                  <c:v>9000</c:v>
                </c:pt>
              </c:numCache>
            </c:numRef>
          </c:val>
          <c:extLst>
            <c:ext xmlns:c16="http://schemas.microsoft.com/office/drawing/2014/chart" uri="{C3380CC4-5D6E-409C-BE32-E72D297353CC}">
              <c16:uniqueId val="{00000000-3FC5-46AC-9DEE-D3F5F9ECB8A9}"/>
            </c:ext>
          </c:extLst>
        </c:ser>
        <c:ser>
          <c:idx val="1"/>
          <c:order val="1"/>
          <c:tx>
            <c:strRef>
              <c:f>'Pivot Tables'!$O$19:$O$20</c:f>
              <c:strCache>
                <c:ptCount val="1"/>
                <c:pt idx="0">
                  <c:v>Furniture</c:v>
                </c:pt>
              </c:strCache>
            </c:strRef>
          </c:tx>
          <c:spPr>
            <a:solidFill>
              <a:schemeClr val="accent2"/>
            </a:solidFill>
            <a:ln>
              <a:noFill/>
            </a:ln>
            <a:effectLst/>
          </c:spPr>
          <c:invertIfNegative val="0"/>
          <c:cat>
            <c:strRef>
              <c:f>'Pivot Tables'!$M$21:$M$25</c:f>
              <c:strCache>
                <c:ptCount val="4"/>
                <c:pt idx="0">
                  <c:v>East</c:v>
                </c:pt>
                <c:pt idx="1">
                  <c:v>North</c:v>
                </c:pt>
                <c:pt idx="2">
                  <c:v>South</c:v>
                </c:pt>
                <c:pt idx="3">
                  <c:v>West</c:v>
                </c:pt>
              </c:strCache>
            </c:strRef>
          </c:cat>
          <c:val>
            <c:numRef>
              <c:f>'Pivot Tables'!$O$21:$O$25</c:f>
              <c:numCache>
                <c:formatCode>General</c:formatCode>
                <c:ptCount val="4"/>
                <c:pt idx="0">
                  <c:v>5400</c:v>
                </c:pt>
              </c:numCache>
            </c:numRef>
          </c:val>
          <c:extLst>
            <c:ext xmlns:c16="http://schemas.microsoft.com/office/drawing/2014/chart" uri="{C3380CC4-5D6E-409C-BE32-E72D297353CC}">
              <c16:uniqueId val="{00000005-3FC5-46AC-9DEE-D3F5F9ECB8A9}"/>
            </c:ext>
          </c:extLst>
        </c:ser>
        <c:ser>
          <c:idx val="2"/>
          <c:order val="2"/>
          <c:tx>
            <c:strRef>
              <c:f>'Pivot Tables'!$P$19:$P$20</c:f>
              <c:strCache>
                <c:ptCount val="1"/>
                <c:pt idx="0">
                  <c:v>Home &amp; Office</c:v>
                </c:pt>
              </c:strCache>
            </c:strRef>
          </c:tx>
          <c:spPr>
            <a:solidFill>
              <a:schemeClr val="accent3"/>
            </a:solidFill>
            <a:ln>
              <a:noFill/>
            </a:ln>
            <a:effectLst/>
          </c:spPr>
          <c:invertIfNegative val="0"/>
          <c:cat>
            <c:strRef>
              <c:f>'Pivot Tables'!$M$21:$M$25</c:f>
              <c:strCache>
                <c:ptCount val="4"/>
                <c:pt idx="0">
                  <c:v>East</c:v>
                </c:pt>
                <c:pt idx="1">
                  <c:v>North</c:v>
                </c:pt>
                <c:pt idx="2">
                  <c:v>South</c:v>
                </c:pt>
                <c:pt idx="3">
                  <c:v>West</c:v>
                </c:pt>
              </c:strCache>
            </c:strRef>
          </c:cat>
          <c:val>
            <c:numRef>
              <c:f>'Pivot Tables'!$P$21:$P$25</c:f>
              <c:numCache>
                <c:formatCode>General</c:formatCode>
                <c:ptCount val="4"/>
                <c:pt idx="3">
                  <c:v>2528</c:v>
                </c:pt>
              </c:numCache>
            </c:numRef>
          </c:val>
          <c:extLst>
            <c:ext xmlns:c16="http://schemas.microsoft.com/office/drawing/2014/chart" uri="{C3380CC4-5D6E-409C-BE32-E72D297353CC}">
              <c16:uniqueId val="{00000006-3FC5-46AC-9DEE-D3F5F9ECB8A9}"/>
            </c:ext>
          </c:extLst>
        </c:ser>
        <c:ser>
          <c:idx val="3"/>
          <c:order val="3"/>
          <c:tx>
            <c:strRef>
              <c:f>'Pivot Tables'!$Q$19:$Q$20</c:f>
              <c:strCache>
                <c:ptCount val="1"/>
                <c:pt idx="0">
                  <c:v>Stationery</c:v>
                </c:pt>
              </c:strCache>
            </c:strRef>
          </c:tx>
          <c:spPr>
            <a:solidFill>
              <a:schemeClr val="accent4"/>
            </a:solidFill>
            <a:ln>
              <a:noFill/>
            </a:ln>
            <a:effectLst/>
          </c:spPr>
          <c:invertIfNegative val="0"/>
          <c:cat>
            <c:strRef>
              <c:f>'Pivot Tables'!$M$21:$M$25</c:f>
              <c:strCache>
                <c:ptCount val="4"/>
                <c:pt idx="0">
                  <c:v>East</c:v>
                </c:pt>
                <c:pt idx="1">
                  <c:v>North</c:v>
                </c:pt>
                <c:pt idx="2">
                  <c:v>South</c:v>
                </c:pt>
                <c:pt idx="3">
                  <c:v>West</c:v>
                </c:pt>
              </c:strCache>
            </c:strRef>
          </c:cat>
          <c:val>
            <c:numRef>
              <c:f>'Pivot Tables'!$Q$21:$Q$25</c:f>
              <c:numCache>
                <c:formatCode>General</c:formatCode>
                <c:ptCount val="4"/>
                <c:pt idx="0">
                  <c:v>4200</c:v>
                </c:pt>
              </c:numCache>
            </c:numRef>
          </c:val>
          <c:extLst>
            <c:ext xmlns:c16="http://schemas.microsoft.com/office/drawing/2014/chart" uri="{C3380CC4-5D6E-409C-BE32-E72D297353CC}">
              <c16:uniqueId val="{00000007-3FC5-46AC-9DEE-D3F5F9ECB8A9}"/>
            </c:ext>
          </c:extLst>
        </c:ser>
        <c:dLbls>
          <c:showLegendKey val="0"/>
          <c:showVal val="0"/>
          <c:showCatName val="0"/>
          <c:showSerName val="0"/>
          <c:showPercent val="0"/>
          <c:showBubbleSize val="0"/>
        </c:dLbls>
        <c:gapWidth val="219"/>
        <c:overlap val="-27"/>
        <c:axId val="510511167"/>
        <c:axId val="510507807"/>
      </c:barChart>
      <c:catAx>
        <c:axId val="51051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507807"/>
        <c:crosses val="autoZero"/>
        <c:auto val="1"/>
        <c:lblAlgn val="ctr"/>
        <c:lblOffset val="100"/>
        <c:noMultiLvlLbl val="0"/>
      </c:catAx>
      <c:valAx>
        <c:axId val="510507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51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[Week4_Uncleaned_Dataset.xlsx]Pivot Tables!PivotTable3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cat>
            <c:strRef>
              <c:f>'Pivot Tables'!$A$4:$A$10</c:f>
              <c:strCache>
                <c:ptCount val="6"/>
                <c:pt idx="0">
                  <c:v>Jan</c:v>
                </c:pt>
                <c:pt idx="1">
                  <c:v>Feb</c:v>
                </c:pt>
                <c:pt idx="2">
                  <c:v>Mar</c:v>
                </c:pt>
                <c:pt idx="3">
                  <c:v>Apr</c:v>
                </c:pt>
                <c:pt idx="4">
                  <c:v>May</c:v>
                </c:pt>
                <c:pt idx="5">
                  <c:v>Dec</c:v>
                </c:pt>
              </c:strCache>
            </c:strRef>
          </c:cat>
          <c:val>
            <c:numRef>
              <c:f>'Pivot Tables'!$B$4:$B$10</c:f>
              <c:numCache>
                <c:formatCode>General</c:formatCode>
                <c:ptCount val="6"/>
                <c:pt idx="0">
                  <c:v>1950</c:v>
                </c:pt>
                <c:pt idx="1">
                  <c:v>12428</c:v>
                </c:pt>
                <c:pt idx="2">
                  <c:v>300</c:v>
                </c:pt>
                <c:pt idx="3">
                  <c:v>900</c:v>
                </c:pt>
                <c:pt idx="4">
                  <c:v>4200</c:v>
                </c:pt>
                <c:pt idx="5">
                  <c:v>4500</c:v>
                </c:pt>
              </c:numCache>
            </c:numRef>
          </c:val>
          <c:smooth val="0"/>
          <c:extLst>
            <c:ext xmlns:c16="http://schemas.microsoft.com/office/drawing/2014/chart" uri="{C3380CC4-5D6E-409C-BE32-E72D297353CC}">
              <c16:uniqueId val="{00000000-35B2-4577-8D20-970DDCE6E6AB}"/>
            </c:ext>
          </c:extLst>
        </c:ser>
        <c:dLbls>
          <c:showLegendKey val="0"/>
          <c:showVal val="0"/>
          <c:showCatName val="0"/>
          <c:showSerName val="0"/>
          <c:showPercent val="0"/>
          <c:showBubbleSize val="0"/>
        </c:dLbls>
        <c:smooth val="0"/>
        <c:axId val="510470847"/>
        <c:axId val="510464127"/>
      </c:lineChart>
      <c:catAx>
        <c:axId val="51047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64127"/>
        <c:crosses val="autoZero"/>
        <c:auto val="1"/>
        <c:lblAlgn val="ctr"/>
        <c:lblOffset val="100"/>
        <c:noMultiLvlLbl val="0"/>
      </c:catAx>
      <c:valAx>
        <c:axId val="51046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7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[Week4_Uncleaned_Dataset.xlsx]Pivot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p>
          <a:p>
            <a:pPr>
              <a:defRPr/>
            </a:pPr>
            <a:endParaRPr lang="en-US"/>
          </a:p>
        </c:rich>
      </c:tx>
      <c:layout>
        <c:manualLayout>
          <c:xMode val="edge"/>
          <c:yMode val="edge"/>
          <c:x val="0.42780863329583807"/>
          <c:y val="0.1169949365394481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Tables'!$N$4</c:f>
              <c:strCache>
                <c:ptCount val="1"/>
                <c:pt idx="0">
                  <c:v>Total</c:v>
                </c:pt>
              </c:strCache>
            </c:strRef>
          </c:tx>
          <c:spPr>
            <a:ln w="28575" cap="rnd">
              <a:solidFill>
                <a:schemeClr val="accent1"/>
              </a:solidFill>
              <a:round/>
            </a:ln>
            <a:effectLst/>
          </c:spPr>
          <c:marker>
            <c:symbol val="none"/>
          </c:marker>
          <c:cat>
            <c:strRef>
              <c:f>'Pivot Tables'!$M$5:$M$11</c:f>
              <c:strCache>
                <c:ptCount val="6"/>
                <c:pt idx="0">
                  <c:v>Sunday</c:v>
                </c:pt>
                <c:pt idx="1">
                  <c:v>Monday</c:v>
                </c:pt>
                <c:pt idx="2">
                  <c:v>Tuesday</c:v>
                </c:pt>
                <c:pt idx="3">
                  <c:v>Thursday</c:v>
                </c:pt>
                <c:pt idx="4">
                  <c:v>Friday</c:v>
                </c:pt>
                <c:pt idx="5">
                  <c:v>Saturday</c:v>
                </c:pt>
              </c:strCache>
            </c:strRef>
          </c:cat>
          <c:val>
            <c:numRef>
              <c:f>'Pivot Tables'!$N$5:$N$11</c:f>
              <c:numCache>
                <c:formatCode>General</c:formatCode>
                <c:ptCount val="6"/>
                <c:pt idx="0">
                  <c:v>4950</c:v>
                </c:pt>
                <c:pt idx="1">
                  <c:v>4200</c:v>
                </c:pt>
                <c:pt idx="2">
                  <c:v>7500</c:v>
                </c:pt>
                <c:pt idx="3">
                  <c:v>3900</c:v>
                </c:pt>
                <c:pt idx="4">
                  <c:v>2828</c:v>
                </c:pt>
                <c:pt idx="5">
                  <c:v>900</c:v>
                </c:pt>
              </c:numCache>
            </c:numRef>
          </c:val>
          <c:smooth val="0"/>
          <c:extLst>
            <c:ext xmlns:c16="http://schemas.microsoft.com/office/drawing/2014/chart" uri="{C3380CC4-5D6E-409C-BE32-E72D297353CC}">
              <c16:uniqueId val="{00000000-9C61-42B5-A499-BFFF024E2EC9}"/>
            </c:ext>
          </c:extLst>
        </c:ser>
        <c:dLbls>
          <c:showLegendKey val="0"/>
          <c:showVal val="0"/>
          <c:showCatName val="0"/>
          <c:showSerName val="0"/>
          <c:showPercent val="0"/>
          <c:showBubbleSize val="0"/>
        </c:dLbls>
        <c:smooth val="0"/>
        <c:axId val="510470367"/>
        <c:axId val="510487167"/>
      </c:lineChart>
      <c:catAx>
        <c:axId val="51047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87167"/>
        <c:crosses val="autoZero"/>
        <c:auto val="1"/>
        <c:lblAlgn val="ctr"/>
        <c:lblOffset val="100"/>
        <c:noMultiLvlLbl val="0"/>
      </c:catAx>
      <c:valAx>
        <c:axId val="51048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7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[Week4_Uncleaned_Dataset.xlsx]Pivot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Tables'!$B$19</c:f>
              <c:strCache>
                <c:ptCount val="1"/>
                <c:pt idx="0">
                  <c:v>Total</c:v>
                </c:pt>
              </c:strCache>
            </c:strRef>
          </c:tx>
          <c:spPr>
            <a:solidFill>
              <a:schemeClr val="accent1"/>
            </a:solidFill>
            <a:ln>
              <a:noFill/>
            </a:ln>
            <a:effectLst/>
          </c:spPr>
          <c:invertIfNegative val="0"/>
          <c:cat>
            <c:strRef>
              <c:f>'Pivot Tables'!$A$20:$A$24</c:f>
              <c:strCache>
                <c:ptCount val="4"/>
                <c:pt idx="0">
                  <c:v>Electronics</c:v>
                </c:pt>
                <c:pt idx="1">
                  <c:v>Furniture</c:v>
                </c:pt>
                <c:pt idx="2">
                  <c:v>Home &amp; Office</c:v>
                </c:pt>
                <c:pt idx="3">
                  <c:v>Stationery</c:v>
                </c:pt>
              </c:strCache>
            </c:strRef>
          </c:cat>
          <c:val>
            <c:numRef>
              <c:f>'Pivot Tables'!$B$20:$B$24</c:f>
              <c:numCache>
                <c:formatCode>General</c:formatCode>
                <c:ptCount val="4"/>
                <c:pt idx="0">
                  <c:v>12150</c:v>
                </c:pt>
                <c:pt idx="1">
                  <c:v>5400</c:v>
                </c:pt>
                <c:pt idx="2">
                  <c:v>2528</c:v>
                </c:pt>
                <c:pt idx="3">
                  <c:v>4200</c:v>
                </c:pt>
              </c:numCache>
            </c:numRef>
          </c:val>
          <c:extLst>
            <c:ext xmlns:c16="http://schemas.microsoft.com/office/drawing/2014/chart" uri="{C3380CC4-5D6E-409C-BE32-E72D297353CC}">
              <c16:uniqueId val="{00000000-84AD-42F2-A734-C7CE14208D97}"/>
            </c:ext>
          </c:extLst>
        </c:ser>
        <c:dLbls>
          <c:showLegendKey val="0"/>
          <c:showVal val="0"/>
          <c:showCatName val="0"/>
          <c:showSerName val="0"/>
          <c:showPercent val="0"/>
          <c:showBubbleSize val="0"/>
        </c:dLbls>
        <c:gapWidth val="182"/>
        <c:axId val="510494367"/>
        <c:axId val="510490047"/>
      </c:barChart>
      <c:catAx>
        <c:axId val="510494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90047"/>
        <c:crosses val="autoZero"/>
        <c:auto val="1"/>
        <c:lblAlgn val="ctr"/>
        <c:lblOffset val="100"/>
        <c:noMultiLvlLbl val="0"/>
      </c:catAx>
      <c:valAx>
        <c:axId val="510490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49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[Week4_Uncleaned_Dataset.xlsx]Pivot Tables!PivotTable7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Tables'!$N$19:$N$20</c:f>
              <c:strCache>
                <c:ptCount val="1"/>
                <c:pt idx="0">
                  <c:v>Electronics</c:v>
                </c:pt>
              </c:strCache>
            </c:strRef>
          </c:tx>
          <c:spPr>
            <a:solidFill>
              <a:schemeClr val="accent1"/>
            </a:solidFill>
            <a:ln>
              <a:noFill/>
            </a:ln>
            <a:effectLst/>
          </c:spPr>
          <c:invertIfNegative val="0"/>
          <c:cat>
            <c:strRef>
              <c:f>'Pivot Tables'!$M$21:$M$25</c:f>
              <c:strCache>
                <c:ptCount val="4"/>
                <c:pt idx="0">
                  <c:v>East</c:v>
                </c:pt>
                <c:pt idx="1">
                  <c:v>North</c:v>
                </c:pt>
                <c:pt idx="2">
                  <c:v>South</c:v>
                </c:pt>
                <c:pt idx="3">
                  <c:v>West</c:v>
                </c:pt>
              </c:strCache>
            </c:strRef>
          </c:cat>
          <c:val>
            <c:numRef>
              <c:f>'Pivot Tables'!$N$21:$N$25</c:f>
              <c:numCache>
                <c:formatCode>General</c:formatCode>
                <c:ptCount val="4"/>
                <c:pt idx="0">
                  <c:v>2400</c:v>
                </c:pt>
                <c:pt idx="1">
                  <c:v>750</c:v>
                </c:pt>
                <c:pt idx="2">
                  <c:v>9000</c:v>
                </c:pt>
              </c:numCache>
            </c:numRef>
          </c:val>
          <c:extLst>
            <c:ext xmlns:c16="http://schemas.microsoft.com/office/drawing/2014/chart" uri="{C3380CC4-5D6E-409C-BE32-E72D297353CC}">
              <c16:uniqueId val="{00000000-85C7-4A58-9E4C-0E30C52A5E68}"/>
            </c:ext>
          </c:extLst>
        </c:ser>
        <c:ser>
          <c:idx val="1"/>
          <c:order val="1"/>
          <c:tx>
            <c:strRef>
              <c:f>'Pivot Tables'!$O$19:$O$20</c:f>
              <c:strCache>
                <c:ptCount val="1"/>
                <c:pt idx="0">
                  <c:v>Furniture</c:v>
                </c:pt>
              </c:strCache>
            </c:strRef>
          </c:tx>
          <c:spPr>
            <a:solidFill>
              <a:schemeClr val="accent2"/>
            </a:solidFill>
            <a:ln>
              <a:noFill/>
            </a:ln>
            <a:effectLst/>
          </c:spPr>
          <c:invertIfNegative val="0"/>
          <c:cat>
            <c:strRef>
              <c:f>'Pivot Tables'!$M$21:$M$25</c:f>
              <c:strCache>
                <c:ptCount val="4"/>
                <c:pt idx="0">
                  <c:v>East</c:v>
                </c:pt>
                <c:pt idx="1">
                  <c:v>North</c:v>
                </c:pt>
                <c:pt idx="2">
                  <c:v>South</c:v>
                </c:pt>
                <c:pt idx="3">
                  <c:v>West</c:v>
                </c:pt>
              </c:strCache>
            </c:strRef>
          </c:cat>
          <c:val>
            <c:numRef>
              <c:f>'Pivot Tables'!$O$21:$O$25</c:f>
              <c:numCache>
                <c:formatCode>General</c:formatCode>
                <c:ptCount val="4"/>
                <c:pt idx="0">
                  <c:v>5400</c:v>
                </c:pt>
              </c:numCache>
            </c:numRef>
          </c:val>
          <c:extLst>
            <c:ext xmlns:c16="http://schemas.microsoft.com/office/drawing/2014/chart" uri="{C3380CC4-5D6E-409C-BE32-E72D297353CC}">
              <c16:uniqueId val="{00000005-85C7-4A58-9E4C-0E30C52A5E68}"/>
            </c:ext>
          </c:extLst>
        </c:ser>
        <c:ser>
          <c:idx val="2"/>
          <c:order val="2"/>
          <c:tx>
            <c:strRef>
              <c:f>'Pivot Tables'!$P$19:$P$20</c:f>
              <c:strCache>
                <c:ptCount val="1"/>
                <c:pt idx="0">
                  <c:v>Home &amp; Office</c:v>
                </c:pt>
              </c:strCache>
            </c:strRef>
          </c:tx>
          <c:spPr>
            <a:solidFill>
              <a:schemeClr val="accent3"/>
            </a:solidFill>
            <a:ln>
              <a:noFill/>
            </a:ln>
            <a:effectLst/>
          </c:spPr>
          <c:invertIfNegative val="0"/>
          <c:cat>
            <c:strRef>
              <c:f>'Pivot Tables'!$M$21:$M$25</c:f>
              <c:strCache>
                <c:ptCount val="4"/>
                <c:pt idx="0">
                  <c:v>East</c:v>
                </c:pt>
                <c:pt idx="1">
                  <c:v>North</c:v>
                </c:pt>
                <c:pt idx="2">
                  <c:v>South</c:v>
                </c:pt>
                <c:pt idx="3">
                  <c:v>West</c:v>
                </c:pt>
              </c:strCache>
            </c:strRef>
          </c:cat>
          <c:val>
            <c:numRef>
              <c:f>'Pivot Tables'!$P$21:$P$25</c:f>
              <c:numCache>
                <c:formatCode>General</c:formatCode>
                <c:ptCount val="4"/>
                <c:pt idx="3">
                  <c:v>2528</c:v>
                </c:pt>
              </c:numCache>
            </c:numRef>
          </c:val>
          <c:extLst>
            <c:ext xmlns:c16="http://schemas.microsoft.com/office/drawing/2014/chart" uri="{C3380CC4-5D6E-409C-BE32-E72D297353CC}">
              <c16:uniqueId val="{00000006-85C7-4A58-9E4C-0E30C52A5E68}"/>
            </c:ext>
          </c:extLst>
        </c:ser>
        <c:ser>
          <c:idx val="3"/>
          <c:order val="3"/>
          <c:tx>
            <c:strRef>
              <c:f>'Pivot Tables'!$Q$19:$Q$20</c:f>
              <c:strCache>
                <c:ptCount val="1"/>
                <c:pt idx="0">
                  <c:v>Stationery</c:v>
                </c:pt>
              </c:strCache>
            </c:strRef>
          </c:tx>
          <c:spPr>
            <a:solidFill>
              <a:schemeClr val="accent4"/>
            </a:solidFill>
            <a:ln>
              <a:noFill/>
            </a:ln>
            <a:effectLst/>
          </c:spPr>
          <c:invertIfNegative val="0"/>
          <c:cat>
            <c:strRef>
              <c:f>'Pivot Tables'!$M$21:$M$25</c:f>
              <c:strCache>
                <c:ptCount val="4"/>
                <c:pt idx="0">
                  <c:v>East</c:v>
                </c:pt>
                <c:pt idx="1">
                  <c:v>North</c:v>
                </c:pt>
                <c:pt idx="2">
                  <c:v>South</c:v>
                </c:pt>
                <c:pt idx="3">
                  <c:v>West</c:v>
                </c:pt>
              </c:strCache>
            </c:strRef>
          </c:cat>
          <c:val>
            <c:numRef>
              <c:f>'Pivot Tables'!$Q$21:$Q$25</c:f>
              <c:numCache>
                <c:formatCode>General</c:formatCode>
                <c:ptCount val="4"/>
                <c:pt idx="0">
                  <c:v>4200</c:v>
                </c:pt>
              </c:numCache>
            </c:numRef>
          </c:val>
          <c:extLst>
            <c:ext xmlns:c16="http://schemas.microsoft.com/office/drawing/2014/chart" uri="{C3380CC4-5D6E-409C-BE32-E72D297353CC}">
              <c16:uniqueId val="{00000007-85C7-4A58-9E4C-0E30C52A5E68}"/>
            </c:ext>
          </c:extLst>
        </c:ser>
        <c:dLbls>
          <c:showLegendKey val="0"/>
          <c:showVal val="0"/>
          <c:showCatName val="0"/>
          <c:showSerName val="0"/>
          <c:showPercent val="0"/>
          <c:showBubbleSize val="0"/>
        </c:dLbls>
        <c:gapWidth val="219"/>
        <c:overlap val="-27"/>
        <c:axId val="510511167"/>
        <c:axId val="510507807"/>
      </c:barChart>
      <c:catAx>
        <c:axId val="51051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507807"/>
        <c:crosses val="autoZero"/>
        <c:auto val="1"/>
        <c:lblAlgn val="ctr"/>
        <c:lblOffset val="100"/>
        <c:noMultiLvlLbl val="0"/>
      </c:catAx>
      <c:valAx>
        <c:axId val="510507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51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175260</xdr:colOff>
      <xdr:row>2</xdr:row>
      <xdr:rowOff>3810</xdr:rowOff>
    </xdr:from>
    <xdr:to>
      <xdr:col>8</xdr:col>
      <xdr:colOff>381000</xdr:colOff>
      <xdr:row>14</xdr:row>
      <xdr:rowOff>129540</xdr:rowOff>
    </xdr:to>
    <xdr:graphicFrame macro="">
      <xdr:nvGraphicFramePr>
        <xdr:cNvPr id="2" name="Chart 1">
          <a:extLst>
            <a:ext uri="{FF2B5EF4-FFF2-40B4-BE49-F238E27FC236}">
              <a16:creationId xmlns:a16="http://schemas.microsoft.com/office/drawing/2014/main" id="{B27093BA-E46B-9ABD-B44A-A0B6F4AFF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266700</xdr:colOff>
      <xdr:row>1</xdr:row>
      <xdr:rowOff>148590</xdr:rowOff>
    </xdr:from>
    <xdr:to>
      <xdr:col>20</xdr:col>
      <xdr:colOff>175260</xdr:colOff>
      <xdr:row>14</xdr:row>
      <xdr:rowOff>106680</xdr:rowOff>
    </xdr:to>
    <xdr:graphicFrame macro="">
      <xdr:nvGraphicFramePr>
        <xdr:cNvPr id="3" name="Chart 2">
          <a:extLst>
            <a:ext uri="{FF2B5EF4-FFF2-40B4-BE49-F238E27FC236}">
              <a16:creationId xmlns:a16="http://schemas.microsoft.com/office/drawing/2014/main" id="{5C0FB22E-1FC2-8571-D10F-FE0098ADE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69318</xdr:colOff>
      <xdr:row>17</xdr:row>
      <xdr:rowOff>134579</xdr:rowOff>
    </xdr:from>
    <xdr:to>
      <xdr:col>8</xdr:col>
      <xdr:colOff>553065</xdr:colOff>
      <xdr:row>32</xdr:row>
      <xdr:rowOff>98322</xdr:rowOff>
    </xdr:to>
    <xdr:graphicFrame macro="">
      <xdr:nvGraphicFramePr>
        <xdr:cNvPr id="4" name="Chart 3">
          <a:extLst>
            <a:ext uri="{FF2B5EF4-FFF2-40B4-BE49-F238E27FC236}">
              <a16:creationId xmlns:a16="http://schemas.microsoft.com/office/drawing/2014/main" id="{6635C48F-1C4C-D818-0F21-E8E522264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167394</xdr:colOff>
      <xdr:row>25</xdr:row>
      <xdr:rowOff>78289</xdr:rowOff>
    </xdr:from>
    <xdr:to>
      <xdr:col>17</xdr:col>
      <xdr:colOff>8849</xdr:colOff>
      <xdr:row>40</xdr:row>
      <xdr:rowOff>78289</xdr:rowOff>
    </xdr:to>
    <xdr:graphicFrame macro="">
      <xdr:nvGraphicFramePr>
        <xdr:cNvPr id="5" name="Chart 4">
          <a:extLst>
            <a:ext uri="{FF2B5EF4-FFF2-40B4-BE49-F238E27FC236}">
              <a16:creationId xmlns:a16="http://schemas.microsoft.com/office/drawing/2014/main" id="{55D6F957-BBF8-A949-E5A6-BD76629F9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114300</xdr:colOff>
      <xdr:row>34</xdr:row>
      <xdr:rowOff>91440</xdr:rowOff>
    </xdr:to>
    <xdr:sp macro="" textlink="">
      <xdr:nvSpPr>
        <xdr:cNvPr id="11" name="Rectangle 10">
          <a:extLst>
            <a:ext uri="{FF2B5EF4-FFF2-40B4-BE49-F238E27FC236}">
              <a16:creationId xmlns:a16="http://schemas.microsoft.com/office/drawing/2014/main" id="{57F0917A-398E-0CC8-8F24-CD4AEA7331C7}"/>
            </a:ext>
          </a:extLst>
        </xdr:cNvPr>
        <xdr:cNvSpPr/>
      </xdr:nvSpPr>
      <xdr:spPr>
        <a:xfrm>
          <a:off x="0" y="0"/>
          <a:ext cx="11696700" cy="6309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a:t>
          </a:r>
        </a:p>
      </xdr:txBody>
    </xdr:sp>
    <xdr:clientData/>
  </xdr:twoCellAnchor>
  <xdr:twoCellAnchor>
    <xdr:from>
      <xdr:col>11</xdr:col>
      <xdr:colOff>548640</xdr:colOff>
      <xdr:row>5</xdr:row>
      <xdr:rowOff>129540</xdr:rowOff>
    </xdr:from>
    <xdr:to>
      <xdr:col>18</xdr:col>
      <xdr:colOff>586740</xdr:colOff>
      <xdr:row>18</xdr:row>
      <xdr:rowOff>27801</xdr:rowOff>
    </xdr:to>
    <xdr:graphicFrame macro="">
      <xdr:nvGraphicFramePr>
        <xdr:cNvPr id="3" name="Chart 2">
          <a:extLst>
            <a:ext uri="{FF2B5EF4-FFF2-40B4-BE49-F238E27FC236}">
              <a16:creationId xmlns:a16="http://schemas.microsoft.com/office/drawing/2014/main" id="{3CABE81C-FAD9-4134-92B8-F786BD234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571500</xdr:colOff>
      <xdr:row>18</xdr:row>
      <xdr:rowOff>99060</xdr:rowOff>
    </xdr:from>
    <xdr:to>
      <xdr:col>18</xdr:col>
      <xdr:colOff>556260</xdr:colOff>
      <xdr:row>33</xdr:row>
      <xdr:rowOff>76200</xdr:rowOff>
    </xdr:to>
    <xdr:graphicFrame macro="">
      <xdr:nvGraphicFramePr>
        <xdr:cNvPr id="4" name="Chart 3">
          <a:extLst>
            <a:ext uri="{FF2B5EF4-FFF2-40B4-BE49-F238E27FC236}">
              <a16:creationId xmlns:a16="http://schemas.microsoft.com/office/drawing/2014/main" id="{F9C75377-5467-4F3C-946C-FE62DECDA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83820</xdr:colOff>
      <xdr:row>5</xdr:row>
      <xdr:rowOff>137160</xdr:rowOff>
    </xdr:from>
    <xdr:to>
      <xdr:col>11</xdr:col>
      <xdr:colOff>502920</xdr:colOff>
      <xdr:row>18</xdr:row>
      <xdr:rowOff>60960</xdr:rowOff>
    </xdr:to>
    <xdr:graphicFrame macro="">
      <xdr:nvGraphicFramePr>
        <xdr:cNvPr id="5" name="Chart 4">
          <a:extLst>
            <a:ext uri="{FF2B5EF4-FFF2-40B4-BE49-F238E27FC236}">
              <a16:creationId xmlns:a16="http://schemas.microsoft.com/office/drawing/2014/main" id="{CA33A714-F997-4BD9-92DF-B3CD4E1C7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83820</xdr:colOff>
      <xdr:row>18</xdr:row>
      <xdr:rowOff>114300</xdr:rowOff>
    </xdr:from>
    <xdr:to>
      <xdr:col>11</xdr:col>
      <xdr:colOff>533400</xdr:colOff>
      <xdr:row>33</xdr:row>
      <xdr:rowOff>87139</xdr:rowOff>
    </xdr:to>
    <xdr:graphicFrame macro="">
      <xdr:nvGraphicFramePr>
        <xdr:cNvPr id="6" name="Chart 5">
          <a:extLst>
            <a:ext uri="{FF2B5EF4-FFF2-40B4-BE49-F238E27FC236}">
              <a16:creationId xmlns:a16="http://schemas.microsoft.com/office/drawing/2014/main" id="{BEABFC4C-D8E0-4A4D-B4B6-F9747F2D8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83820</xdr:colOff>
      <xdr:row>2</xdr:row>
      <xdr:rowOff>160021</xdr:rowOff>
    </xdr:from>
    <xdr:to>
      <xdr:col>2</xdr:col>
      <xdr:colOff>259080</xdr:colOff>
      <xdr:row>14</xdr:row>
      <xdr:rowOff>144780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ADCA7578-5575-B769-4C2C-76B5F540A7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3820" y="525781"/>
              <a:ext cx="1394460" cy="2179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10</xdr:row>
      <xdr:rowOff>106681</xdr:rowOff>
    </xdr:from>
    <xdr:to>
      <xdr:col>2</xdr:col>
      <xdr:colOff>320040</xdr:colOff>
      <xdr:row>18</xdr:row>
      <xdr:rowOff>53340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36EBBB2F-9DBC-AFB2-F260-585A6DA2BD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820" y="1935481"/>
              <a:ext cx="1455420" cy="1409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266700</xdr:colOff>
      <xdr:row>6</xdr:row>
      <xdr:rowOff>129541</xdr:rowOff>
    </xdr:from>
    <xdr:to>
      <xdr:col>5</xdr:col>
      <xdr:colOff>68580</xdr:colOff>
      <xdr:row>18</xdr:row>
      <xdr:rowOff>60960</xdr:rowOff>
    </xdr:to>
    <mc:AlternateContent xmlns:mc="http://schemas.openxmlformats.org/markup-compatibility/2006" xmlns:a14="http://schemas.microsoft.com/office/drawing/2010/main">
      <mc:Choice Requires="a14">
        <xdr:graphicFrame macro="">
          <xdr:nvGraphicFramePr>
            <xdr:cNvPr id="10" name="Order month">
              <a:extLst>
                <a:ext uri="{FF2B5EF4-FFF2-40B4-BE49-F238E27FC236}">
                  <a16:creationId xmlns:a16="http://schemas.microsoft.com/office/drawing/2014/main" id="{BB53702F-F7F9-40F8-F08B-3EFA37D58E74}"/>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1485900" y="1226821"/>
              <a:ext cx="1630680" cy="2125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114300</xdr:colOff>
      <xdr:row>0</xdr:row>
      <xdr:rowOff>129540</xdr:rowOff>
    </xdr:from>
    <xdr:to>
      <xdr:col>12</xdr:col>
      <xdr:colOff>373380</xdr:colOff>
      <xdr:row>4</xdr:row>
      <xdr:rowOff>152400</xdr:rowOff>
    </xdr:to>
    <xdr:sp macro="" textlink="">
      <xdr:nvSpPr>
        <xdr:cNvPr id="12" name="Oval 11">
          <a:extLst>
            <a:ext uri="{FF2B5EF4-FFF2-40B4-BE49-F238E27FC236}">
              <a16:creationId xmlns:a16="http://schemas.microsoft.com/office/drawing/2014/main" id="{399A8DEE-3C5C-F568-65DA-6FABF634A465}"/>
            </a:ext>
          </a:extLst>
        </xdr:cNvPr>
        <xdr:cNvSpPr/>
      </xdr:nvSpPr>
      <xdr:spPr>
        <a:xfrm>
          <a:off x="3162300" y="129540"/>
          <a:ext cx="4526280" cy="754380"/>
        </a:xfrm>
        <a:prstGeom prst="ellipse">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800" b="1">
              <a:latin typeface="Arial Rounded MT Bold" panose="020F0704030504030204" pitchFamily="34" charset="0"/>
            </a:rPr>
            <a:t>Sales </a:t>
          </a:r>
          <a:r>
            <a:rPr lang="en-US" sz="2800" b="1">
              <a:latin typeface="Arial Rounded MT Bold" panose="020F0704030504030204" pitchFamily="34" charset="0"/>
            </a:rPr>
            <a:t>Reports </a:t>
          </a:r>
          <a:endParaRPr lang="en-IN" sz="2800" b="1">
            <a:latin typeface="Arial Rounded MT Bold" panose="020F07040305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 Ajikumar" refreshedDate="46153.71044224537" createdVersion="8" refreshedVersion="8" minRefreshableVersion="3" recordCount="9" xr:uid="{2B8A6263-7BEF-459E-A77E-4731070DBFC3}">
  <cacheSource type="worksheet">
    <worksheetSource name="Table1"/>
  </cacheSource>
  <cacheFields count="9">
    <cacheField name="ProductID" numFmtId="0">
      <sharedItems/>
    </cacheField>
    <cacheField name="ProductName" numFmtId="0">
      <sharedItems count="9">
        <s v="Wireless Mouse"/>
        <s v="USB-C Hub"/>
        <s v="Desk Lamp"/>
        <s v="Notebook Set"/>
        <s v="Bluetooth Speaker"/>
        <s v="Standing Desk"/>
        <s v="Webcam HD"/>
        <s v="Ergonomic Chair"/>
        <s v="Pen Drive 64GB"/>
      </sharedItems>
    </cacheField>
    <cacheField name="Category" numFmtId="0">
      <sharedItems count="4">
        <s v="Electronics"/>
        <s v="Home &amp; Office"/>
        <s v="Stationery"/>
        <s v="Furniture"/>
      </sharedItems>
    </cacheField>
    <cacheField name="order ID" numFmtId="0">
      <sharedItems/>
    </cacheField>
    <cacheField name="Order month" numFmtId="0">
      <sharedItems count="6">
        <s v="Jan"/>
        <s v="Feb"/>
        <s v="May"/>
        <s v="Apr"/>
        <s v="Mar"/>
        <s v="Dec"/>
      </sharedItems>
    </cacheField>
    <cacheField name="RegionID" numFmtId="0">
      <sharedItems/>
    </cacheField>
    <cacheField name="Region" numFmtId="0">
      <sharedItems count="4">
        <s v="North"/>
        <s v="East"/>
        <s v="West"/>
        <s v="South"/>
      </sharedItems>
    </cacheField>
    <cacheField name="SalesAmount" numFmtId="0">
      <sharedItems containsSemiMixedTypes="0" containsString="0" containsNumber="1" containsInteger="1" minValue="300" maxValue="7500"/>
    </cacheField>
    <cacheField name="Weekday" numFmtId="0">
      <sharedItems count="6">
        <s v="Sunday"/>
        <s v="Thursday"/>
        <s v="Friday"/>
        <s v="Monday"/>
        <s v="Tuesday"/>
        <s v="Saturday"/>
      </sharedItems>
    </cacheField>
  </cacheFields>
  <extLst>
    <ext xmlns:x14="http://schemas.microsoft.com/office/spreadsheetml/2009/9/main" uri="{725AE2AE-9491-48be-B2B4-4EB974FC3084}">
      <x14:pivotCacheDefinition pivotCacheId="1424688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P001"/>
    <x v="0"/>
    <x v="0"/>
    <s v="ORD-1002"/>
    <x v="0"/>
    <s v="R01"/>
    <x v="0"/>
    <n v="450"/>
    <x v="0"/>
  </r>
  <r>
    <s v="P002"/>
    <x v="1"/>
    <x v="0"/>
    <s v="ORD-1004"/>
    <x v="1"/>
    <s v="R03"/>
    <x v="1"/>
    <n v="2400"/>
    <x v="1"/>
  </r>
  <r>
    <s v="P003"/>
    <x v="2"/>
    <x v="1"/>
    <s v="ORD-1003"/>
    <x v="1"/>
    <s v="R04"/>
    <x v="2"/>
    <n v="2528"/>
    <x v="2"/>
  </r>
  <r>
    <s v="P004"/>
    <x v="3"/>
    <x v="2"/>
    <s v="ORD-1013"/>
    <x v="2"/>
    <s v="R03"/>
    <x v="1"/>
    <n v="4200"/>
    <x v="3"/>
  </r>
  <r>
    <s v="P005"/>
    <x v="4"/>
    <x v="0"/>
    <s v="ORD-1005"/>
    <x v="1"/>
    <s v="R02"/>
    <x v="3"/>
    <n v="7500"/>
    <x v="4"/>
  </r>
  <r>
    <s v="P006"/>
    <x v="5"/>
    <x v="3"/>
    <s v="ORD-1009"/>
    <x v="3"/>
    <s v="R03"/>
    <x v="1"/>
    <n v="900"/>
    <x v="5"/>
  </r>
  <r>
    <s v="P007"/>
    <x v="6"/>
    <x v="0"/>
    <s v="ORD-1006"/>
    <x v="4"/>
    <s v="R01"/>
    <x v="0"/>
    <n v="300"/>
    <x v="2"/>
  </r>
  <r>
    <s v="P008"/>
    <x v="7"/>
    <x v="3"/>
    <s v="ORD-1035"/>
    <x v="5"/>
    <s v="R03"/>
    <x v="1"/>
    <n v="4500"/>
    <x v="0"/>
  </r>
  <r>
    <s v="P009"/>
    <x v="8"/>
    <x v="0"/>
    <s v="ORD-1000"/>
    <x v="0"/>
    <s v="R02"/>
    <x v="3"/>
    <n v="15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C23916-F1D1-43A0-9308-B2F9049998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9">
    <pivotField showAll="0"/>
    <pivotField showAll="0"/>
    <pivotField showAll="0">
      <items count="5">
        <item x="0"/>
        <item x="3"/>
        <item x="1"/>
        <item x="2"/>
        <item t="default"/>
      </items>
    </pivotField>
    <pivotField showAll="0"/>
    <pivotField axis="axisRow" showAll="0">
      <items count="7">
        <item x="0"/>
        <item x="1"/>
        <item x="4"/>
        <item x="3"/>
        <item x="2"/>
        <item x="5"/>
        <item t="default"/>
      </items>
    </pivotField>
    <pivotField showAll="0"/>
    <pivotField showAll="0">
      <items count="5">
        <item x="1"/>
        <item x="0"/>
        <item x="3"/>
        <item x="2"/>
        <item t="default"/>
      </items>
    </pivotField>
    <pivotField dataField="1" showAll="0"/>
    <pivotField showAll="0"/>
  </pivotFields>
  <rowFields count="1">
    <field x="4"/>
  </rowFields>
  <rowItems count="7">
    <i>
      <x/>
    </i>
    <i>
      <x v="1"/>
    </i>
    <i>
      <x v="2"/>
    </i>
    <i>
      <x v="3"/>
    </i>
    <i>
      <x v="4"/>
    </i>
    <i>
      <x v="5"/>
    </i>
    <i t="grand">
      <x/>
    </i>
  </rowItems>
  <colItems count="1">
    <i/>
  </colItems>
  <dataFields count="1">
    <dataField name="Sum of SalesAmount" fld="7" baseField="0" baseItem="0"/>
  </dataFields>
  <formats count="12">
    <format dxfId="12">
      <pivotArea type="all" dataOnly="0" outline="0" fieldPosition="0"/>
    </format>
    <format dxfId="11">
      <pivotArea outline="0" collapsedLevelsAreSubtotals="1" fieldPosition="0"/>
    </format>
    <format dxfId="10">
      <pivotArea field="4" type="button" dataOnly="0" labelOnly="1" outline="0" axis="axisRow" fieldPosition="0"/>
    </format>
    <format dxfId="9">
      <pivotArea dataOnly="0" labelOnly="1" fieldPosition="0">
        <references count="1">
          <reference field="4" count="0"/>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4" type="button" dataOnly="0" labelOnly="1" outline="0" axis="axisRow" fieldPosition="0"/>
    </format>
    <format dxfId="3">
      <pivotArea dataOnly="0" labelOnly="1" fieldPosition="0">
        <references count="1">
          <reference field="4" count="0"/>
        </references>
      </pivotArea>
    </format>
    <format dxfId="2">
      <pivotArea dataOnly="0" labelOnly="1" grandRow="1" outline="0" fieldPosition="0"/>
    </format>
    <format dxfId="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E8D00A-2CEE-4AE8-91A7-93E38473628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19:R25" firstHeaderRow="1" firstDataRow="2" firstDataCol="1"/>
  <pivotFields count="9">
    <pivotField showAll="0"/>
    <pivotField showAll="0"/>
    <pivotField axis="axisCol" showAll="0">
      <items count="5">
        <item x="0"/>
        <item x="3"/>
        <item x="1"/>
        <item x="2"/>
        <item t="default"/>
      </items>
    </pivotField>
    <pivotField showAll="0"/>
    <pivotField showAll="0">
      <items count="7">
        <item x="0"/>
        <item x="1"/>
        <item x="4"/>
        <item x="3"/>
        <item x="2"/>
        <item x="5"/>
        <item t="default"/>
      </items>
    </pivotField>
    <pivotField showAll="0"/>
    <pivotField axis="axisRow" showAll="0">
      <items count="5">
        <item x="1"/>
        <item x="0"/>
        <item x="3"/>
        <item x="2"/>
        <item t="default"/>
      </items>
    </pivotField>
    <pivotField dataField="1" showAll="0"/>
    <pivotField showAll="0"/>
  </pivotFields>
  <rowFields count="1">
    <field x="6"/>
  </rowFields>
  <rowItems count="5">
    <i>
      <x/>
    </i>
    <i>
      <x v="1"/>
    </i>
    <i>
      <x v="2"/>
    </i>
    <i>
      <x v="3"/>
    </i>
    <i t="grand">
      <x/>
    </i>
  </rowItems>
  <colFields count="1">
    <field x="2"/>
  </colFields>
  <colItems count="5">
    <i>
      <x/>
    </i>
    <i>
      <x v="1"/>
    </i>
    <i>
      <x v="2"/>
    </i>
    <i>
      <x v="3"/>
    </i>
    <i t="grand">
      <x/>
    </i>
  </colItems>
  <dataFields count="1">
    <dataField name="Sum of SalesAmount" fld="7" baseField="0" baseItem="0"/>
  </dataFields>
  <formats count="21">
    <format dxfId="33">
      <pivotArea type="all" dataOnly="0" outline="0" fieldPosition="0"/>
    </format>
    <format dxfId="32">
      <pivotArea type="all" dataOnly="0" outline="0" fieldPosition="0"/>
    </format>
    <format dxfId="31">
      <pivotArea outline="0" collapsedLevelsAreSubtotals="1" fieldPosition="0"/>
    </format>
    <format dxfId="30">
      <pivotArea type="origin" dataOnly="0" labelOnly="1" outline="0" fieldPosition="0"/>
    </format>
    <format dxfId="29">
      <pivotArea field="2" type="button" dataOnly="0" labelOnly="1" outline="0" axis="axisCol" fieldPosition="0"/>
    </format>
    <format dxfId="28">
      <pivotArea type="topRight" dataOnly="0" labelOnly="1" outline="0" fieldPosition="0"/>
    </format>
    <format dxfId="27">
      <pivotArea field="6" type="button" dataOnly="0" labelOnly="1" outline="0" axis="axisRow" fieldPosition="0"/>
    </format>
    <format dxfId="26">
      <pivotArea dataOnly="0" labelOnly="1" fieldPosition="0">
        <references count="1">
          <reference field="6" count="0"/>
        </references>
      </pivotArea>
    </format>
    <format dxfId="25">
      <pivotArea dataOnly="0" labelOnly="1" grandRow="1" outline="0" fieldPosition="0"/>
    </format>
    <format dxfId="24">
      <pivotArea dataOnly="0" labelOnly="1" fieldPosition="0">
        <references count="1">
          <reference field="2" count="0"/>
        </references>
      </pivotArea>
    </format>
    <format dxfId="23">
      <pivotArea dataOnly="0" labelOnly="1" grandCol="1" outline="0" fieldPosition="0"/>
    </format>
    <format dxfId="22">
      <pivotArea type="all" dataOnly="0" outline="0" fieldPosition="0"/>
    </format>
    <format dxfId="21">
      <pivotArea outline="0" collapsedLevelsAreSubtotals="1" fieldPosition="0"/>
    </format>
    <format dxfId="20">
      <pivotArea type="origin" dataOnly="0" labelOnly="1" outline="0" fieldPosition="0"/>
    </format>
    <format dxfId="19">
      <pivotArea field="2" type="button" dataOnly="0" labelOnly="1" outline="0" axis="axisCol" fieldPosition="0"/>
    </format>
    <format dxfId="18">
      <pivotArea type="topRight" dataOnly="0" labelOnly="1" outline="0" fieldPosition="0"/>
    </format>
    <format dxfId="17">
      <pivotArea field="6" type="button" dataOnly="0" labelOnly="1" outline="0" axis="axisRow" fieldPosition="0"/>
    </format>
    <format dxfId="16">
      <pivotArea dataOnly="0" labelOnly="1" fieldPosition="0">
        <references count="1">
          <reference field="6" count="0"/>
        </references>
      </pivotArea>
    </format>
    <format dxfId="15">
      <pivotArea dataOnly="0" labelOnly="1" grandRow="1" outline="0" fieldPosition="0"/>
    </format>
    <format dxfId="14">
      <pivotArea dataOnly="0" labelOnly="1" fieldPosition="0">
        <references count="1">
          <reference field="2" count="0"/>
        </references>
      </pivotArea>
    </format>
    <format dxfId="13">
      <pivotArea dataOnly="0" labelOnly="1" grandCol="1" outline="0" fieldPosition="0"/>
    </format>
  </format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 chart="3"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ADEEC7-0D3A-4B46-9072-DAE52CFD356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B24" firstHeaderRow="1" firstDataRow="1" firstDataCol="1"/>
  <pivotFields count="9">
    <pivotField showAll="0"/>
    <pivotField showAll="0"/>
    <pivotField axis="axisRow" showAll="0">
      <items count="5">
        <item x="0"/>
        <item x="3"/>
        <item x="1"/>
        <item x="2"/>
        <item t="default"/>
      </items>
    </pivotField>
    <pivotField showAll="0"/>
    <pivotField showAll="0">
      <items count="7">
        <item x="0"/>
        <item x="1"/>
        <item x="4"/>
        <item x="3"/>
        <item x="2"/>
        <item x="5"/>
        <item t="default"/>
      </items>
    </pivotField>
    <pivotField showAll="0"/>
    <pivotField showAll="0">
      <items count="5">
        <item x="1"/>
        <item x="0"/>
        <item x="3"/>
        <item x="2"/>
        <item t="default"/>
      </items>
    </pivotField>
    <pivotField dataField="1" showAll="0"/>
    <pivotField showAll="0"/>
  </pivotFields>
  <rowFields count="1">
    <field x="2"/>
  </rowFields>
  <rowItems count="5">
    <i>
      <x/>
    </i>
    <i>
      <x v="1"/>
    </i>
    <i>
      <x v="2"/>
    </i>
    <i>
      <x v="3"/>
    </i>
    <i t="grand">
      <x/>
    </i>
  </rowItems>
  <colItems count="1">
    <i/>
  </colItems>
  <dataFields count="1">
    <dataField name="Sum of SalesAmount" fld="7" baseField="0" baseItem="0"/>
  </dataFields>
  <formats count="18">
    <format dxfId="51">
      <pivotArea type="all" dataOnly="0" outline="0" fieldPosition="0"/>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2" type="button" dataOnly="0" labelOnly="1" outline="0" axis="axisRow" fieldPosition="0"/>
    </format>
    <format dxfId="42">
      <pivotArea dataOnly="0" labelOnly="1" fieldPosition="0">
        <references count="1">
          <reference field="2" count="0"/>
        </references>
      </pivotArea>
    </format>
    <format dxfId="41">
      <pivotArea dataOnly="0" labelOnly="1" grandRow="1" outline="0"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2" type="button" dataOnly="0" labelOnly="1" outline="0" axis="axisRow" fieldPosition="0"/>
    </format>
    <format dxfId="36">
      <pivotArea dataOnly="0" labelOnly="1" fieldPosition="0">
        <references count="1">
          <reference field="2" count="0"/>
        </references>
      </pivotArea>
    </format>
    <format dxfId="35">
      <pivotArea dataOnly="0" labelOnly="1" grandRow="1" outline="0" fieldPosition="0"/>
    </format>
    <format dxfId="3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619D5A-0E79-4083-A819-42E8CE3B33F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4:N11" firstHeaderRow="1" firstDataRow="1" firstDataCol="1"/>
  <pivotFields count="9">
    <pivotField showAll="0"/>
    <pivotField showAll="0">
      <items count="10">
        <item x="4"/>
        <item x="2"/>
        <item x="7"/>
        <item x="3"/>
        <item x="8"/>
        <item x="5"/>
        <item x="1"/>
        <item x="6"/>
        <item x="0"/>
        <item t="default"/>
      </items>
    </pivotField>
    <pivotField showAll="0">
      <items count="5">
        <item x="0"/>
        <item x="3"/>
        <item x="1"/>
        <item x="2"/>
        <item t="default"/>
      </items>
    </pivotField>
    <pivotField showAll="0"/>
    <pivotField showAll="0">
      <items count="7">
        <item x="0"/>
        <item x="1"/>
        <item x="4"/>
        <item x="3"/>
        <item x="2"/>
        <item x="5"/>
        <item t="default"/>
      </items>
    </pivotField>
    <pivotField showAll="0"/>
    <pivotField showAll="0">
      <items count="5">
        <item x="1"/>
        <item x="0"/>
        <item x="3"/>
        <item x="2"/>
        <item t="default"/>
      </items>
    </pivotField>
    <pivotField dataField="1" showAll="0"/>
    <pivotField axis="axisRow" showAll="0">
      <items count="7">
        <item x="0"/>
        <item x="3"/>
        <item x="4"/>
        <item x="1"/>
        <item x="2"/>
        <item x="5"/>
        <item t="default"/>
      </items>
    </pivotField>
  </pivotFields>
  <rowFields count="1">
    <field x="8"/>
  </rowFields>
  <rowItems count="7">
    <i>
      <x/>
    </i>
    <i>
      <x v="1"/>
    </i>
    <i>
      <x v="2"/>
    </i>
    <i>
      <x v="3"/>
    </i>
    <i>
      <x v="4"/>
    </i>
    <i>
      <x v="5"/>
    </i>
    <i t="grand">
      <x/>
    </i>
  </rowItems>
  <colItems count="1">
    <i/>
  </colItems>
  <dataFields count="1">
    <dataField name="Sum of SalesAmount" fld="7" baseField="0" baseItem="0"/>
  </dataFields>
  <formats count="30">
    <format dxfId="81">
      <pivotArea type="all" dataOnly="0" outline="0" fieldPosition="0"/>
    </format>
    <format dxfId="80">
      <pivotArea outline="0" collapsedLevelsAreSubtotals="1" fieldPosition="0"/>
    </format>
    <format dxfId="79">
      <pivotArea field="8" type="button" dataOnly="0" labelOnly="1" outline="0" axis="axisRow" fieldPosition="0"/>
    </format>
    <format dxfId="78">
      <pivotArea dataOnly="0" labelOnly="1" fieldPosition="0">
        <references count="1">
          <reference field="8"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8" type="button" dataOnly="0" labelOnly="1" outline="0" axis="axisRow" fieldPosition="0"/>
    </format>
    <format dxfId="72">
      <pivotArea dataOnly="0" labelOnly="1" fieldPosition="0">
        <references count="1">
          <reference field="8"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8" type="button" dataOnly="0" labelOnly="1" outline="0" axis="axisRow" fieldPosition="0"/>
    </format>
    <format dxfId="66">
      <pivotArea dataOnly="0" labelOnly="1" fieldPosition="0">
        <references count="1">
          <reference field="8" count="0"/>
        </references>
      </pivotArea>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8" type="button" dataOnly="0" labelOnly="1" outline="0" axis="axisRow" fieldPosition="0"/>
    </format>
    <format dxfId="60">
      <pivotArea dataOnly="0" labelOnly="1" fieldPosition="0">
        <references count="1">
          <reference field="8"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8" type="button" dataOnly="0" labelOnly="1" outline="0" axis="axisRow" fieldPosition="0"/>
    </format>
    <format dxfId="54">
      <pivotArea dataOnly="0" labelOnly="1" fieldPosition="0">
        <references count="1">
          <reference field="8" count="0"/>
        </references>
      </pivotArea>
    </format>
    <format dxfId="53">
      <pivotArea dataOnly="0" labelOnly="1" grandRow="1" outline="0" fieldPosition="0"/>
    </format>
    <format dxfId="5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1F9EBFC-EB52-4459-B41B-EC03BC88D81A}" sourceName="Category">
  <pivotTables>
    <pivotTable tabId="15" name="PivotTable4"/>
    <pivotTable tabId="15" name="PivotTable3"/>
    <pivotTable tabId="15" name="PivotTable5"/>
    <pivotTable tabId="15" name="PivotTable7"/>
  </pivotTables>
  <data>
    <tabular pivotCacheId="142468845">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AD522C8-8AC1-40CD-9D06-7461CB70B2A7}" sourceName="Region">
  <pivotTables>
    <pivotTable tabId="15" name="PivotTable4"/>
    <pivotTable tabId="15" name="PivotTable3"/>
    <pivotTable tabId="15" name="PivotTable5"/>
    <pivotTable tabId="15" name="PivotTable7"/>
  </pivotTables>
  <data>
    <tabular pivotCacheId="142468845">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7114A1F0-1D3C-4118-8934-837FE66A1FAC}" sourceName="Order month">
  <pivotTables>
    <pivotTable tabId="15" name="PivotTable4"/>
    <pivotTable tabId="15" name="PivotTable3"/>
    <pivotTable tabId="15" name="PivotTable5"/>
    <pivotTable tabId="15" name="PivotTable7"/>
  </pivotTables>
  <data>
    <tabular pivotCacheId="142468845">
      <items count="6">
        <i x="0" s="1"/>
        <i x="1" s="1"/>
        <i x="4" s="1"/>
        <i x="3"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46CB073-5A81-4F67-95F4-AD1B42E521DC}" cache="Slicer_Category" caption="Category" rowHeight="234950"/>
  <slicer name="Region" xr10:uid="{241A586C-8091-47AE-879B-FBB6ACB143D8}" cache="Slicer_Region" caption="Region" startItem="1" rowHeight="234950"/>
  <slicer name="Order month" xr10:uid="{B2DC02CB-7BFB-48E3-A3A2-FFB07504BFD4}" cache="Slicer_Order_month" caption="Order 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FBD734-9BDB-4265-82ED-B27587E688DF}" name="Table2" displayName="Table2" ref="A1:J45" totalsRowShown="0" headerRowDxfId="106" headerRowBorderDxfId="105" tableBorderDxfId="104">
  <autoFilter ref="A1:J45" xr:uid="{4CFBD734-9BDB-4265-82ED-B27587E688DF}"/>
  <tableColumns count="10">
    <tableColumn id="1" xr3:uid="{0596E249-E5F0-486A-AF90-7305454489C4}" name="ProductID" dataDxfId="103"/>
    <tableColumn id="2" xr3:uid="{EA33455F-D73A-4F1E-BA07-9DA9DB74A904}" name="OrderDate" dataDxfId="102"/>
    <tableColumn id="3" xr3:uid="{D98EA07C-638D-48DF-A209-F871C67DB5C6}" name="OrderDate2" dataDxfId="101">
      <calculatedColumnFormula>TEXT(TEXT(B2,"DD-MM-YYYY"),"mmm")</calculatedColumnFormula>
    </tableColumn>
    <tableColumn id="4" xr3:uid="{E2C40EF3-98A9-4532-AC64-5969B6D8AA5E}" name="order ID" dataDxfId="100"/>
    <tableColumn id="5" xr3:uid="{5F5E92D1-635A-4E72-A9A4-E797AD3C3090}" name="RegionID" dataDxfId="99"/>
    <tableColumn id="6" xr3:uid="{22EF1FF1-A1DE-4063-909C-53EDE65F2449}" name="Quantity" dataDxfId="98"/>
    <tableColumn id="7" xr3:uid="{6EBC513C-7A1C-496C-8328-5155BFC9BA8E}" name="Quantity3" dataDxfId="97">
      <calculatedColumnFormula>ROUND(IF(ISBLANK(F2),AVERAGE($F$2:$F$45),F2),0)</calculatedColumnFormula>
    </tableColumn>
    <tableColumn id="8" xr3:uid="{4EA20101-F9B2-4C33-BABA-CA2C1F15323A}" name="SalesAmount" dataDxfId="96"/>
    <tableColumn id="9" xr3:uid="{903532F8-BD92-4190-A537-FCA1F53C2C42}" name="SalesAmount4" dataDxfId="95">
      <calculatedColumnFormula>ROUND(IF(ISBLANK(H2),AVERAGE($H$2:$H$45),H2),0)</calculatedColumnFormula>
    </tableColumn>
    <tableColumn id="10" xr3:uid="{4E92669C-75F0-4B35-851A-516B34E88FFA}" name="Weekday">
      <calculatedColumnFormula>TEXT(B2,"dddd")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E6E2FD-23DD-4BF1-B9A6-9C05E293A8F3}" name="Table1" displayName="Table1" ref="A1:I10" totalsRowShown="0" headerRowDxfId="94" headerRowBorderDxfId="93" tableBorderDxfId="92" totalsRowBorderDxfId="91">
  <autoFilter ref="A1:I10" xr:uid="{88E6E2FD-23DD-4BF1-B9A6-9C05E293A8F3}"/>
  <tableColumns count="9">
    <tableColumn id="1" xr3:uid="{6759D96D-226B-456D-9891-C065502FFB06}" name="ProductID" dataDxfId="90"/>
    <tableColumn id="2" xr3:uid="{10A88C0E-229C-402C-AEAE-E4E470C346C3}" name="ProductName" dataDxfId="89">
      <calculatedColumnFormula>VLOOKUP(A2,Products!$A$1:$C$10,2,0)</calculatedColumnFormula>
    </tableColumn>
    <tableColumn id="3" xr3:uid="{653A0DC9-D45D-474B-8636-9F4F74BBA020}" name="Category" dataDxfId="88">
      <calculatedColumnFormula>VLOOKUP(A2,Products!$A$1:$C$10,3,0)</calculatedColumnFormula>
    </tableColumn>
    <tableColumn id="4" xr3:uid="{E39144C4-A57C-44E5-8BF9-76F330A33BC2}" name="order ID" dataDxfId="87">
      <calculatedColumnFormula>VLOOKUP(A2,Sales!$A$1:$I$45,4,0)</calculatedColumnFormula>
    </tableColumn>
    <tableColumn id="5" xr3:uid="{360178B7-C076-43B8-8870-8D0752A79E4E}" name="Order month" dataDxfId="86">
      <calculatedColumnFormula>VLOOKUP($A2,Sales!$A$1:$I$45,3,0)</calculatedColumnFormula>
    </tableColumn>
    <tableColumn id="6" xr3:uid="{7C89CE24-D165-4323-A92C-71A0BE6C9160}" name="RegionID" dataDxfId="85">
      <calculatedColumnFormula>VLOOKUP($A2,Sales!$A$1:$I$45,5,0)</calculatedColumnFormula>
    </tableColumn>
    <tableColumn id="9" xr3:uid="{18387ED4-4BEA-4C74-BEB5-B32D7E22638B}" name="Region" dataDxfId="84">
      <calculatedColumnFormula>VLOOKUP($F2,Regions!$A$1:$C$5,3,0)</calculatedColumnFormula>
    </tableColumn>
    <tableColumn id="7" xr3:uid="{4F08C15F-66DC-423D-BCBA-A7877CA56194}" name="SalesAmount" dataDxfId="83">
      <calculatedColumnFormula>VLOOKUP($A2,Sales!$A$1:$I$45,9,0)</calculatedColumnFormula>
    </tableColumn>
    <tableColumn id="8" xr3:uid="{09EC3870-2B71-424F-BD89-D75334128DBC}" name="Weekday" dataDxfId="82">
      <calculatedColumnFormula>VLOOKUP($A2,Table2[#All],10,0)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230ACF4-7CEF-40AE-956F-9B99206CCDDF}">
  <we:reference id="wa200008734" version="1.0.0.4" store="en-US" storeType="OMEX"/>
  <we:alternateReferences>
    <we:reference id="wa200008734" version="1.0.0.4" store="WA200008734" storeType="OMEX"/>
  </we:alternateReferences>
  <we:properties>
    <we:property name="elkar-uid" value="&quot;61582dd5-d594-4657-aa77-c1cfe4f2231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showGridLines="0" topLeftCell="A2" zoomScaleNormal="100" workbookViewId="0">
      <selection activeCell="C19" sqref="C19"/>
    </sheetView>
  </sheetViews>
  <sheetFormatPr defaultColWidth="8.6640625" defaultRowHeight="14.4" x14ac:dyDescent="0.3"/>
  <cols>
    <col min="1" max="2" width="18" customWidth="1"/>
    <col min="3" max="3" width="18" style="25" customWidth="1"/>
    <col min="4" max="9" width="18" customWidth="1"/>
    <col min="10" max="10" width="14.44140625" bestFit="1" customWidth="1"/>
  </cols>
  <sheetData>
    <row r="1" spans="1:10" x14ac:dyDescent="0.3">
      <c r="A1" s="17" t="s">
        <v>1</v>
      </c>
      <c r="B1" s="18" t="s">
        <v>0</v>
      </c>
      <c r="C1" s="27" t="s">
        <v>124</v>
      </c>
      <c r="D1" s="18" t="s">
        <v>118</v>
      </c>
      <c r="E1" s="18" t="s">
        <v>108</v>
      </c>
      <c r="F1" s="18" t="s">
        <v>2</v>
      </c>
      <c r="G1" s="18" t="s">
        <v>125</v>
      </c>
      <c r="H1" s="18" t="s">
        <v>3</v>
      </c>
      <c r="I1" s="18" t="s">
        <v>126</v>
      </c>
      <c r="J1" s="28" t="s">
        <v>123</v>
      </c>
    </row>
    <row r="2" spans="1:10" x14ac:dyDescent="0.3">
      <c r="A2" s="15" t="s">
        <v>6</v>
      </c>
      <c r="B2" s="9" t="s">
        <v>5</v>
      </c>
      <c r="C2" s="7" t="str">
        <f>TEXT(TEXT(B2,"DD-MM-YYYY"),"mmm")</f>
        <v>Jan</v>
      </c>
      <c r="D2" s="2" t="s">
        <v>4</v>
      </c>
      <c r="E2" s="13" t="s">
        <v>112</v>
      </c>
      <c r="F2" s="2">
        <v>5</v>
      </c>
      <c r="G2" s="2">
        <f t="shared" ref="G2:G45" si="0">ROUND(IF(ISBLANK(F2),AVERAGE($F$2:$F$45),F2),0)</f>
        <v>5</v>
      </c>
      <c r="H2" s="2">
        <v>1500</v>
      </c>
      <c r="I2" s="2">
        <f t="shared" ref="I2:I45" si="1">ROUND(IF(ISBLANK(H2),AVERAGE($H$2:$H$45),H2),0)</f>
        <v>1500</v>
      </c>
      <c r="J2" t="str">
        <f>TEXT(B2,"dddd")</f>
        <v>Thursday</v>
      </c>
    </row>
    <row r="3" spans="1:10" x14ac:dyDescent="0.3">
      <c r="A3" s="15" t="s">
        <v>8</v>
      </c>
      <c r="B3" s="9">
        <v>44948</v>
      </c>
      <c r="C3" s="7" t="str">
        <f t="shared" ref="C3:C45" si="2">TEXT(TEXT(B3,"DD-MM-YYYY"),"mmm")</f>
        <v>Jan</v>
      </c>
      <c r="D3" s="2" t="s">
        <v>7</v>
      </c>
      <c r="E3" s="13" t="s">
        <v>110</v>
      </c>
      <c r="F3" s="2">
        <v>3</v>
      </c>
      <c r="G3" s="2">
        <f t="shared" si="0"/>
        <v>3</v>
      </c>
      <c r="H3" s="2">
        <v>450</v>
      </c>
      <c r="I3" s="2">
        <f t="shared" si="1"/>
        <v>450</v>
      </c>
      <c r="J3" t="str">
        <f t="shared" ref="J3:J45" si="3">TEXT(B3,"dddd")</f>
        <v>Sunday</v>
      </c>
    </row>
    <row r="4" spans="1:10" x14ac:dyDescent="0.3">
      <c r="A4" s="16" t="s">
        <v>11</v>
      </c>
      <c r="B4" s="10" t="s">
        <v>10</v>
      </c>
      <c r="C4" s="7" t="str">
        <f t="shared" si="2"/>
        <v>Feb</v>
      </c>
      <c r="D4" s="3" t="s">
        <v>9</v>
      </c>
      <c r="E4" s="14" t="s">
        <v>116</v>
      </c>
      <c r="F4" s="4"/>
      <c r="G4" s="8">
        <f t="shared" si="0"/>
        <v>8</v>
      </c>
      <c r="H4" s="4"/>
      <c r="I4" s="2">
        <f t="shared" si="1"/>
        <v>2528</v>
      </c>
      <c r="J4" t="str">
        <f t="shared" si="3"/>
        <v>Friday</v>
      </c>
    </row>
    <row r="5" spans="1:10" x14ac:dyDescent="0.3">
      <c r="A5" s="15" t="s">
        <v>13</v>
      </c>
      <c r="B5" s="9">
        <v>44959</v>
      </c>
      <c r="C5" s="7" t="str">
        <f t="shared" si="2"/>
        <v>Feb</v>
      </c>
      <c r="D5" s="2" t="s">
        <v>12</v>
      </c>
      <c r="E5" s="13" t="s">
        <v>114</v>
      </c>
      <c r="F5" s="2">
        <v>8</v>
      </c>
      <c r="G5" s="2">
        <f t="shared" si="0"/>
        <v>8</v>
      </c>
      <c r="H5" s="2">
        <v>2400</v>
      </c>
      <c r="I5" s="2">
        <f t="shared" si="1"/>
        <v>2400</v>
      </c>
      <c r="J5" t="str">
        <f t="shared" si="3"/>
        <v>Thursday</v>
      </c>
    </row>
    <row r="6" spans="1:10" x14ac:dyDescent="0.3">
      <c r="A6" s="16" t="s">
        <v>16</v>
      </c>
      <c r="B6" s="10" t="s">
        <v>15</v>
      </c>
      <c r="C6" s="7" t="str">
        <f t="shared" si="2"/>
        <v>Feb</v>
      </c>
      <c r="D6" s="3" t="s">
        <v>14</v>
      </c>
      <c r="E6" s="13" t="s">
        <v>112</v>
      </c>
      <c r="F6" s="3">
        <v>15</v>
      </c>
      <c r="G6" s="2">
        <f t="shared" si="0"/>
        <v>15</v>
      </c>
      <c r="H6" s="3">
        <v>7500</v>
      </c>
      <c r="I6" s="2">
        <f t="shared" si="1"/>
        <v>7500</v>
      </c>
      <c r="J6" t="str">
        <f t="shared" si="3"/>
        <v>Tuesday</v>
      </c>
    </row>
    <row r="7" spans="1:10" x14ac:dyDescent="0.3">
      <c r="A7" s="15" t="s">
        <v>19</v>
      </c>
      <c r="B7" s="9" t="s">
        <v>18</v>
      </c>
      <c r="C7" s="7" t="str">
        <f t="shared" si="2"/>
        <v>Mar</v>
      </c>
      <c r="D7" s="2" t="s">
        <v>17</v>
      </c>
      <c r="E7" s="13" t="s">
        <v>110</v>
      </c>
      <c r="F7" s="2">
        <v>2</v>
      </c>
      <c r="G7" s="2">
        <f t="shared" si="0"/>
        <v>2</v>
      </c>
      <c r="H7" s="2">
        <v>300</v>
      </c>
      <c r="I7" s="2">
        <f t="shared" si="1"/>
        <v>300</v>
      </c>
      <c r="J7" t="str">
        <f t="shared" si="3"/>
        <v>Friday</v>
      </c>
    </row>
    <row r="8" spans="1:10" x14ac:dyDescent="0.3">
      <c r="A8" s="16" t="s">
        <v>11</v>
      </c>
      <c r="B8" s="10">
        <v>45019</v>
      </c>
      <c r="C8" s="7" t="str">
        <f t="shared" si="2"/>
        <v>Apr</v>
      </c>
      <c r="D8" s="2" t="s">
        <v>20</v>
      </c>
      <c r="E8" s="14" t="s">
        <v>116</v>
      </c>
      <c r="F8" s="3">
        <v>9</v>
      </c>
      <c r="G8" s="2">
        <f t="shared" si="0"/>
        <v>9</v>
      </c>
      <c r="H8" s="3"/>
      <c r="I8" s="2">
        <f t="shared" si="1"/>
        <v>2528</v>
      </c>
      <c r="J8" t="str">
        <f t="shared" si="3"/>
        <v>Monday</v>
      </c>
    </row>
    <row r="9" spans="1:10" x14ac:dyDescent="0.3">
      <c r="A9" s="15" t="s">
        <v>22</v>
      </c>
      <c r="B9" s="9" t="s">
        <v>21</v>
      </c>
      <c r="C9" s="7" t="str">
        <f t="shared" si="2"/>
        <v>Apr</v>
      </c>
      <c r="D9" s="3" t="s">
        <v>23</v>
      </c>
      <c r="E9" s="13" t="s">
        <v>114</v>
      </c>
      <c r="F9" s="2">
        <v>6</v>
      </c>
      <c r="G9" s="2">
        <f t="shared" si="0"/>
        <v>6</v>
      </c>
      <c r="H9" s="2">
        <v>900</v>
      </c>
      <c r="I9" s="2">
        <f t="shared" si="1"/>
        <v>900</v>
      </c>
      <c r="J9" t="str">
        <f t="shared" si="3"/>
        <v>Saturday</v>
      </c>
    </row>
    <row r="10" spans="1:10" x14ac:dyDescent="0.3">
      <c r="A10" s="16" t="s">
        <v>8</v>
      </c>
      <c r="B10" s="10" t="s">
        <v>24</v>
      </c>
      <c r="C10" s="7" t="str">
        <f t="shared" si="2"/>
        <v>Apr</v>
      </c>
      <c r="D10" s="2" t="s">
        <v>25</v>
      </c>
      <c r="E10" s="13" t="s">
        <v>112</v>
      </c>
      <c r="F10" s="3">
        <v>7</v>
      </c>
      <c r="G10" s="2">
        <f t="shared" si="0"/>
        <v>7</v>
      </c>
      <c r="H10" s="4"/>
      <c r="I10" s="2">
        <f t="shared" si="1"/>
        <v>2528</v>
      </c>
      <c r="J10" t="str">
        <f t="shared" si="3"/>
        <v>Saturday</v>
      </c>
    </row>
    <row r="11" spans="1:10" x14ac:dyDescent="0.3">
      <c r="A11" s="15" t="s">
        <v>8</v>
      </c>
      <c r="B11" s="9" t="s">
        <v>26</v>
      </c>
      <c r="C11" s="7" t="str">
        <f t="shared" si="2"/>
        <v>Apr</v>
      </c>
      <c r="D11" s="3" t="s">
        <v>27</v>
      </c>
      <c r="E11" s="13" t="s">
        <v>110</v>
      </c>
      <c r="F11" s="2">
        <v>11</v>
      </c>
      <c r="G11" s="2">
        <f t="shared" si="0"/>
        <v>11</v>
      </c>
      <c r="H11" s="2">
        <v>3300</v>
      </c>
      <c r="I11" s="2">
        <f t="shared" si="1"/>
        <v>3300</v>
      </c>
      <c r="J11" t="str">
        <f t="shared" si="3"/>
        <v>Sunday</v>
      </c>
    </row>
    <row r="12" spans="1:10" x14ac:dyDescent="0.3">
      <c r="A12" s="16" t="s">
        <v>6</v>
      </c>
      <c r="B12" s="10" t="s">
        <v>28</v>
      </c>
      <c r="C12" s="7" t="str">
        <f t="shared" si="2"/>
        <v>May</v>
      </c>
      <c r="D12" s="2" t="s">
        <v>29</v>
      </c>
      <c r="E12" s="14" t="s">
        <v>116</v>
      </c>
      <c r="F12" s="3">
        <v>4</v>
      </c>
      <c r="G12" s="2">
        <f t="shared" si="0"/>
        <v>4</v>
      </c>
      <c r="H12" s="3">
        <v>1200</v>
      </c>
      <c r="I12" s="2">
        <f t="shared" si="1"/>
        <v>1200</v>
      </c>
      <c r="J12" t="str">
        <f t="shared" si="3"/>
        <v>Friday</v>
      </c>
    </row>
    <row r="13" spans="1:10" x14ac:dyDescent="0.3">
      <c r="A13" s="15" t="s">
        <v>30</v>
      </c>
      <c r="B13" s="11">
        <v>45047</v>
      </c>
      <c r="C13" s="7" t="str">
        <f t="shared" si="2"/>
        <v>May</v>
      </c>
      <c r="D13" s="3" t="s">
        <v>31</v>
      </c>
      <c r="E13" s="13" t="s">
        <v>114</v>
      </c>
      <c r="F13" s="2">
        <v>14</v>
      </c>
      <c r="G13" s="2">
        <f t="shared" si="0"/>
        <v>14</v>
      </c>
      <c r="H13" s="2">
        <v>4200</v>
      </c>
      <c r="I13" s="2">
        <f t="shared" si="1"/>
        <v>4200</v>
      </c>
      <c r="J13" t="str">
        <f t="shared" si="3"/>
        <v>Monday</v>
      </c>
    </row>
    <row r="14" spans="1:10" x14ac:dyDescent="0.3">
      <c r="A14" s="16" t="s">
        <v>22</v>
      </c>
      <c r="B14" s="10" t="s">
        <v>32</v>
      </c>
      <c r="C14" s="7" t="str">
        <f t="shared" si="2"/>
        <v>May</v>
      </c>
      <c r="D14" s="2" t="s">
        <v>33</v>
      </c>
      <c r="E14" s="13" t="s">
        <v>112</v>
      </c>
      <c r="F14" s="3">
        <v>7</v>
      </c>
      <c r="G14" s="2">
        <f t="shared" si="0"/>
        <v>7</v>
      </c>
      <c r="H14" s="3">
        <v>2100</v>
      </c>
      <c r="I14" s="2">
        <f t="shared" si="1"/>
        <v>2100</v>
      </c>
      <c r="J14" t="str">
        <f t="shared" si="3"/>
        <v>Monday</v>
      </c>
    </row>
    <row r="15" spans="1:10" x14ac:dyDescent="0.3">
      <c r="A15" s="15" t="s">
        <v>22</v>
      </c>
      <c r="B15" s="9" t="s">
        <v>34</v>
      </c>
      <c r="C15" s="7" t="str">
        <f t="shared" si="2"/>
        <v>Jun</v>
      </c>
      <c r="D15" s="3" t="s">
        <v>35</v>
      </c>
      <c r="E15" s="13" t="s">
        <v>110</v>
      </c>
      <c r="F15" s="2">
        <v>3</v>
      </c>
      <c r="G15" s="2">
        <f t="shared" si="0"/>
        <v>3</v>
      </c>
      <c r="H15" s="2">
        <v>450</v>
      </c>
      <c r="I15" s="2">
        <f t="shared" si="1"/>
        <v>450</v>
      </c>
      <c r="J15" t="str">
        <f t="shared" si="3"/>
        <v>Thursday</v>
      </c>
    </row>
    <row r="16" spans="1:10" x14ac:dyDescent="0.3">
      <c r="A16" s="16" t="s">
        <v>22</v>
      </c>
      <c r="B16" s="10" t="s">
        <v>36</v>
      </c>
      <c r="C16" s="7" t="str">
        <f t="shared" si="2"/>
        <v>Jun</v>
      </c>
      <c r="D16" s="2" t="s">
        <v>37</v>
      </c>
      <c r="E16" s="14" t="s">
        <v>116</v>
      </c>
      <c r="F16" s="3">
        <v>20</v>
      </c>
      <c r="G16" s="2">
        <f t="shared" si="0"/>
        <v>20</v>
      </c>
      <c r="H16" s="3">
        <v>8000</v>
      </c>
      <c r="I16" s="2">
        <f t="shared" si="1"/>
        <v>8000</v>
      </c>
      <c r="J16" t="str">
        <f t="shared" si="3"/>
        <v>Sunday</v>
      </c>
    </row>
    <row r="17" spans="1:10" x14ac:dyDescent="0.3">
      <c r="A17" s="15" t="s">
        <v>16</v>
      </c>
      <c r="B17" s="9" t="s">
        <v>38</v>
      </c>
      <c r="C17" s="7" t="str">
        <f t="shared" si="2"/>
        <v>Jun</v>
      </c>
      <c r="D17" s="3" t="s">
        <v>39</v>
      </c>
      <c r="E17" s="13" t="s">
        <v>114</v>
      </c>
      <c r="F17" s="2">
        <v>1</v>
      </c>
      <c r="G17" s="2">
        <f t="shared" si="0"/>
        <v>1</v>
      </c>
      <c r="H17" s="2">
        <v>150</v>
      </c>
      <c r="I17" s="2">
        <f t="shared" si="1"/>
        <v>150</v>
      </c>
      <c r="J17" t="str">
        <f t="shared" si="3"/>
        <v>Friday</v>
      </c>
    </row>
    <row r="18" spans="1:10" x14ac:dyDescent="0.3">
      <c r="A18" s="16" t="s">
        <v>13</v>
      </c>
      <c r="B18" s="10" t="s">
        <v>40</v>
      </c>
      <c r="C18" s="7" t="str">
        <f t="shared" si="2"/>
        <v>Jul</v>
      </c>
      <c r="D18" s="2" t="s">
        <v>41</v>
      </c>
      <c r="E18" s="13" t="s">
        <v>112</v>
      </c>
      <c r="F18" s="3">
        <v>8</v>
      </c>
      <c r="G18" s="2">
        <f t="shared" si="0"/>
        <v>8</v>
      </c>
      <c r="H18" s="3">
        <v>2400</v>
      </c>
      <c r="I18" s="2">
        <f t="shared" si="1"/>
        <v>2400</v>
      </c>
      <c r="J18" t="str">
        <f t="shared" si="3"/>
        <v>Tuesday</v>
      </c>
    </row>
    <row r="19" spans="1:10" x14ac:dyDescent="0.3">
      <c r="A19" s="15" t="s">
        <v>8</v>
      </c>
      <c r="B19" s="9">
        <v>45122</v>
      </c>
      <c r="C19" s="7" t="str">
        <f t="shared" si="2"/>
        <v>Jul</v>
      </c>
      <c r="D19" s="3" t="s">
        <v>42</v>
      </c>
      <c r="E19" s="13" t="s">
        <v>110</v>
      </c>
      <c r="F19" s="4"/>
      <c r="G19" s="8">
        <f t="shared" si="0"/>
        <v>8</v>
      </c>
      <c r="H19" s="4"/>
      <c r="I19" s="2">
        <f t="shared" si="1"/>
        <v>2528</v>
      </c>
      <c r="J19" t="str">
        <f t="shared" si="3"/>
        <v>Saturday</v>
      </c>
    </row>
    <row r="20" spans="1:10" x14ac:dyDescent="0.3">
      <c r="A20" s="16" t="s">
        <v>11</v>
      </c>
      <c r="B20" s="10" t="s">
        <v>43</v>
      </c>
      <c r="C20" s="7" t="str">
        <f t="shared" si="2"/>
        <v>Jul</v>
      </c>
      <c r="D20" s="2" t="s">
        <v>44</v>
      </c>
      <c r="E20" s="14" t="s">
        <v>116</v>
      </c>
      <c r="F20" s="3">
        <v>5</v>
      </c>
      <c r="G20" s="2">
        <f t="shared" si="0"/>
        <v>5</v>
      </c>
      <c r="H20" s="3">
        <v>1500</v>
      </c>
      <c r="I20" s="2">
        <f t="shared" si="1"/>
        <v>1500</v>
      </c>
      <c r="J20" t="str">
        <f t="shared" si="3"/>
        <v>Friday</v>
      </c>
    </row>
    <row r="21" spans="1:10" x14ac:dyDescent="0.3">
      <c r="A21" s="15" t="s">
        <v>16</v>
      </c>
      <c r="B21" s="9" t="s">
        <v>45</v>
      </c>
      <c r="C21" s="7" t="str">
        <f t="shared" si="2"/>
        <v>Aug</v>
      </c>
      <c r="D21" s="3" t="s">
        <v>46</v>
      </c>
      <c r="E21" s="13" t="s">
        <v>114</v>
      </c>
      <c r="F21" s="2">
        <v>13</v>
      </c>
      <c r="G21" s="2">
        <f t="shared" si="0"/>
        <v>13</v>
      </c>
      <c r="H21" s="2">
        <v>3900</v>
      </c>
      <c r="I21" s="2">
        <f t="shared" si="1"/>
        <v>3900</v>
      </c>
      <c r="J21" t="str">
        <f t="shared" si="3"/>
        <v>Saturday</v>
      </c>
    </row>
    <row r="22" spans="1:10" x14ac:dyDescent="0.3">
      <c r="A22" s="16" t="s">
        <v>22</v>
      </c>
      <c r="B22" s="10">
        <v>45267</v>
      </c>
      <c r="C22" s="7" t="str">
        <f t="shared" si="2"/>
        <v>Dec</v>
      </c>
      <c r="D22" s="2" t="s">
        <v>47</v>
      </c>
      <c r="E22" s="13" t="s">
        <v>112</v>
      </c>
      <c r="F22" s="3">
        <v>6</v>
      </c>
      <c r="G22" s="2">
        <f t="shared" si="0"/>
        <v>6</v>
      </c>
      <c r="H22" s="3">
        <v>1800</v>
      </c>
      <c r="I22" s="2">
        <f t="shared" si="1"/>
        <v>1800</v>
      </c>
      <c r="J22" t="str">
        <f t="shared" si="3"/>
        <v>Thursday</v>
      </c>
    </row>
    <row r="23" spans="1:10" x14ac:dyDescent="0.3">
      <c r="A23" s="15" t="s">
        <v>22</v>
      </c>
      <c r="B23" s="9" t="s">
        <v>48</v>
      </c>
      <c r="C23" s="7" t="str">
        <f t="shared" si="2"/>
        <v>Aug</v>
      </c>
      <c r="D23" s="3" t="s">
        <v>49</v>
      </c>
      <c r="E23" s="13" t="s">
        <v>110</v>
      </c>
      <c r="F23" s="2">
        <v>2</v>
      </c>
      <c r="G23" s="2">
        <f t="shared" si="0"/>
        <v>2</v>
      </c>
      <c r="H23" s="2">
        <v>300</v>
      </c>
      <c r="I23" s="2">
        <f t="shared" si="1"/>
        <v>300</v>
      </c>
      <c r="J23" t="str">
        <f t="shared" si="3"/>
        <v>Friday</v>
      </c>
    </row>
    <row r="24" spans="1:10" x14ac:dyDescent="0.3">
      <c r="A24" s="16" t="s">
        <v>8</v>
      </c>
      <c r="B24" s="10" t="s">
        <v>50</v>
      </c>
      <c r="C24" s="7" t="str">
        <f t="shared" si="2"/>
        <v>Sep</v>
      </c>
      <c r="D24" s="2" t="s">
        <v>51</v>
      </c>
      <c r="E24" s="14" t="s">
        <v>116</v>
      </c>
      <c r="F24" s="3">
        <v>9</v>
      </c>
      <c r="G24" s="2">
        <f t="shared" si="0"/>
        <v>9</v>
      </c>
      <c r="H24" s="3">
        <v>2700</v>
      </c>
      <c r="I24" s="2">
        <f t="shared" si="1"/>
        <v>2700</v>
      </c>
      <c r="J24" t="str">
        <f t="shared" si="3"/>
        <v>Sunday</v>
      </c>
    </row>
    <row r="25" spans="1:10" x14ac:dyDescent="0.3">
      <c r="A25" s="15" t="s">
        <v>19</v>
      </c>
      <c r="B25" s="9" t="s">
        <v>52</v>
      </c>
      <c r="C25" s="7" t="str">
        <f t="shared" si="2"/>
        <v>Sep</v>
      </c>
      <c r="D25" s="3" t="s">
        <v>53</v>
      </c>
      <c r="E25" s="13" t="s">
        <v>114</v>
      </c>
      <c r="F25" s="2">
        <v>17</v>
      </c>
      <c r="G25" s="2">
        <f t="shared" si="0"/>
        <v>17</v>
      </c>
      <c r="H25" s="2">
        <v>6800</v>
      </c>
      <c r="I25" s="2">
        <f t="shared" si="1"/>
        <v>6800</v>
      </c>
      <c r="J25" t="str">
        <f t="shared" si="3"/>
        <v>Monday</v>
      </c>
    </row>
    <row r="26" spans="1:10" x14ac:dyDescent="0.3">
      <c r="A26" s="16" t="s">
        <v>6</v>
      </c>
      <c r="B26" s="10" t="s">
        <v>54</v>
      </c>
      <c r="C26" s="7" t="str">
        <f t="shared" si="2"/>
        <v>Sep</v>
      </c>
      <c r="D26" s="2" t="s">
        <v>55</v>
      </c>
      <c r="E26" s="13" t="s">
        <v>112</v>
      </c>
      <c r="F26" s="3">
        <v>4</v>
      </c>
      <c r="G26" s="2">
        <f t="shared" si="0"/>
        <v>4</v>
      </c>
      <c r="H26" s="3">
        <v>1200</v>
      </c>
      <c r="I26" s="2">
        <f t="shared" si="1"/>
        <v>1200</v>
      </c>
      <c r="J26" t="str">
        <f t="shared" si="3"/>
        <v>Saturday</v>
      </c>
    </row>
    <row r="27" spans="1:10" x14ac:dyDescent="0.3">
      <c r="A27" s="15" t="s">
        <v>13</v>
      </c>
      <c r="B27" s="9" t="s">
        <v>56</v>
      </c>
      <c r="C27" s="7" t="str">
        <f t="shared" si="2"/>
        <v>Oct</v>
      </c>
      <c r="D27" s="3" t="s">
        <v>57</v>
      </c>
      <c r="E27" s="13" t="s">
        <v>110</v>
      </c>
      <c r="F27" s="2">
        <v>11</v>
      </c>
      <c r="G27" s="2">
        <f t="shared" si="0"/>
        <v>11</v>
      </c>
      <c r="H27" s="2">
        <v>3300</v>
      </c>
      <c r="I27" s="2">
        <f t="shared" si="1"/>
        <v>3300</v>
      </c>
      <c r="J27" t="str">
        <f t="shared" si="3"/>
        <v>Tuesday</v>
      </c>
    </row>
    <row r="28" spans="1:10" x14ac:dyDescent="0.3">
      <c r="A28" s="16" t="s">
        <v>8</v>
      </c>
      <c r="B28" s="10">
        <v>45221</v>
      </c>
      <c r="C28" s="7" t="str">
        <f t="shared" si="2"/>
        <v>Oct</v>
      </c>
      <c r="D28" s="2" t="s">
        <v>58</v>
      </c>
      <c r="E28" s="14" t="s">
        <v>116</v>
      </c>
      <c r="F28" s="3">
        <v>3</v>
      </c>
      <c r="G28" s="2">
        <f t="shared" si="0"/>
        <v>3</v>
      </c>
      <c r="H28" s="3">
        <v>900</v>
      </c>
      <c r="I28" s="2">
        <f t="shared" si="1"/>
        <v>900</v>
      </c>
      <c r="J28" t="str">
        <f t="shared" si="3"/>
        <v>Sunday</v>
      </c>
    </row>
    <row r="29" spans="1:10" x14ac:dyDescent="0.3">
      <c r="A29" s="16" t="s">
        <v>16</v>
      </c>
      <c r="B29" s="10" t="s">
        <v>59</v>
      </c>
      <c r="C29" s="7" t="str">
        <f t="shared" si="2"/>
        <v>Nov</v>
      </c>
      <c r="D29" s="2" t="s">
        <v>60</v>
      </c>
      <c r="E29" s="13" t="s">
        <v>114</v>
      </c>
      <c r="F29" s="3">
        <v>6</v>
      </c>
      <c r="G29" s="2">
        <f t="shared" si="0"/>
        <v>6</v>
      </c>
      <c r="H29" s="3">
        <v>1800</v>
      </c>
      <c r="I29" s="2">
        <f t="shared" si="1"/>
        <v>1800</v>
      </c>
      <c r="J29" t="str">
        <f t="shared" si="3"/>
        <v>Monday</v>
      </c>
    </row>
    <row r="30" spans="1:10" x14ac:dyDescent="0.3">
      <c r="A30" s="15" t="s">
        <v>19</v>
      </c>
      <c r="B30" s="9" t="s">
        <v>61</v>
      </c>
      <c r="C30" s="7" t="str">
        <f t="shared" si="2"/>
        <v>Nov</v>
      </c>
      <c r="D30" s="3" t="s">
        <v>62</v>
      </c>
      <c r="E30" s="13" t="s">
        <v>112</v>
      </c>
      <c r="F30" s="2">
        <v>15</v>
      </c>
      <c r="G30" s="2">
        <f t="shared" si="0"/>
        <v>15</v>
      </c>
      <c r="H30" s="2">
        <v>7500</v>
      </c>
      <c r="I30" s="2">
        <f t="shared" si="1"/>
        <v>7500</v>
      </c>
      <c r="J30" t="str">
        <f t="shared" si="3"/>
        <v>Thursday</v>
      </c>
    </row>
    <row r="31" spans="1:10" x14ac:dyDescent="0.3">
      <c r="A31" s="15" t="s">
        <v>6</v>
      </c>
      <c r="B31" s="12">
        <v>45242</v>
      </c>
      <c r="C31" s="7" t="str">
        <f t="shared" si="2"/>
        <v>Nov</v>
      </c>
      <c r="D31" s="3" t="s">
        <v>63</v>
      </c>
      <c r="E31" s="13" t="s">
        <v>110</v>
      </c>
      <c r="F31" s="4"/>
      <c r="G31" s="8">
        <f t="shared" si="0"/>
        <v>8</v>
      </c>
      <c r="H31" s="4"/>
      <c r="I31" s="2">
        <f t="shared" si="1"/>
        <v>2528</v>
      </c>
      <c r="J31" t="str">
        <f t="shared" si="3"/>
        <v>Sunday</v>
      </c>
    </row>
    <row r="32" spans="1:10" x14ac:dyDescent="0.3">
      <c r="A32" s="16" t="s">
        <v>30</v>
      </c>
      <c r="B32" s="10" t="s">
        <v>64</v>
      </c>
      <c r="C32" s="7" t="str">
        <f t="shared" si="2"/>
        <v>Dec</v>
      </c>
      <c r="D32" s="2" t="s">
        <v>65</v>
      </c>
      <c r="E32" s="14" t="s">
        <v>116</v>
      </c>
      <c r="F32" s="3">
        <v>4</v>
      </c>
      <c r="G32" s="2">
        <f t="shared" si="0"/>
        <v>4</v>
      </c>
      <c r="H32" s="3">
        <v>600</v>
      </c>
      <c r="I32" s="2">
        <f t="shared" si="1"/>
        <v>600</v>
      </c>
      <c r="J32" t="str">
        <f t="shared" si="3"/>
        <v>Monday</v>
      </c>
    </row>
    <row r="33" spans="1:10" x14ac:dyDescent="0.3">
      <c r="A33" s="15" t="s">
        <v>67</v>
      </c>
      <c r="B33" s="9" t="s">
        <v>66</v>
      </c>
      <c r="C33" s="7" t="str">
        <f t="shared" si="2"/>
        <v>Dec</v>
      </c>
      <c r="D33" s="3" t="s">
        <v>68</v>
      </c>
      <c r="E33" s="13" t="s">
        <v>114</v>
      </c>
      <c r="F33" s="2">
        <v>9</v>
      </c>
      <c r="G33" s="2">
        <f t="shared" si="0"/>
        <v>9</v>
      </c>
      <c r="H33" s="2">
        <v>4500</v>
      </c>
      <c r="I33" s="2">
        <f t="shared" si="1"/>
        <v>4500</v>
      </c>
      <c r="J33" t="str">
        <f t="shared" si="3"/>
        <v>Sunday</v>
      </c>
    </row>
    <row r="34" spans="1:10" x14ac:dyDescent="0.3">
      <c r="A34" s="16" t="s">
        <v>22</v>
      </c>
      <c r="B34" s="10" t="s">
        <v>69</v>
      </c>
      <c r="C34" s="7" t="str">
        <f t="shared" si="2"/>
        <v>Jan</v>
      </c>
      <c r="D34" s="2" t="s">
        <v>70</v>
      </c>
      <c r="E34" s="13" t="s">
        <v>112</v>
      </c>
      <c r="F34" s="3">
        <v>12</v>
      </c>
      <c r="G34" s="2">
        <f t="shared" si="0"/>
        <v>12</v>
      </c>
      <c r="H34" s="3">
        <v>3600</v>
      </c>
      <c r="I34" s="2">
        <f t="shared" si="1"/>
        <v>3600</v>
      </c>
      <c r="J34" t="str">
        <f t="shared" si="3"/>
        <v>Wednesday</v>
      </c>
    </row>
    <row r="35" spans="1:10" x14ac:dyDescent="0.3">
      <c r="A35" s="15" t="s">
        <v>30</v>
      </c>
      <c r="B35" s="9" t="s">
        <v>71</v>
      </c>
      <c r="C35" s="7" t="str">
        <f t="shared" si="2"/>
        <v>Feb</v>
      </c>
      <c r="D35" s="3" t="s">
        <v>72</v>
      </c>
      <c r="E35" s="13" t="s">
        <v>110</v>
      </c>
      <c r="F35" s="2">
        <v>5</v>
      </c>
      <c r="G35" s="2">
        <f t="shared" si="0"/>
        <v>5</v>
      </c>
      <c r="H35" s="2">
        <v>750</v>
      </c>
      <c r="I35" s="2">
        <f t="shared" si="1"/>
        <v>750</v>
      </c>
      <c r="J35" t="str">
        <f t="shared" si="3"/>
        <v>Saturday</v>
      </c>
    </row>
    <row r="36" spans="1:10" x14ac:dyDescent="0.3">
      <c r="A36" s="16" t="s">
        <v>67</v>
      </c>
      <c r="B36" s="10" t="s">
        <v>73</v>
      </c>
      <c r="C36" s="7" t="str">
        <f t="shared" si="2"/>
        <v>Mar</v>
      </c>
      <c r="D36" s="2" t="s">
        <v>74</v>
      </c>
      <c r="E36" s="14" t="s">
        <v>116</v>
      </c>
      <c r="F36" s="3">
        <v>8</v>
      </c>
      <c r="G36" s="2">
        <f t="shared" si="0"/>
        <v>8</v>
      </c>
      <c r="H36" s="3">
        <v>3200</v>
      </c>
      <c r="I36" s="2">
        <f t="shared" si="1"/>
        <v>3200</v>
      </c>
      <c r="J36" t="str">
        <f t="shared" si="3"/>
        <v>Wednesday</v>
      </c>
    </row>
    <row r="37" spans="1:10" x14ac:dyDescent="0.3">
      <c r="A37" s="15" t="s">
        <v>67</v>
      </c>
      <c r="B37" s="9" t="s">
        <v>75</v>
      </c>
      <c r="C37" s="7" t="str">
        <f t="shared" si="2"/>
        <v>Jul</v>
      </c>
      <c r="D37" s="3" t="s">
        <v>76</v>
      </c>
      <c r="E37" s="13" t="s">
        <v>114</v>
      </c>
      <c r="F37" s="2">
        <v>3</v>
      </c>
      <c r="G37" s="2">
        <f t="shared" si="0"/>
        <v>3</v>
      </c>
      <c r="H37" s="2">
        <v>450</v>
      </c>
      <c r="I37" s="2">
        <f t="shared" si="1"/>
        <v>450</v>
      </c>
      <c r="J37" t="str">
        <f t="shared" si="3"/>
        <v>Friday</v>
      </c>
    </row>
    <row r="38" spans="1:10" x14ac:dyDescent="0.3">
      <c r="A38" s="16" t="s">
        <v>8</v>
      </c>
      <c r="B38" s="10" t="s">
        <v>77</v>
      </c>
      <c r="C38" s="7" t="str">
        <f t="shared" si="2"/>
        <v>Sep</v>
      </c>
      <c r="D38" s="2" t="s">
        <v>78</v>
      </c>
      <c r="E38" s="13" t="s">
        <v>112</v>
      </c>
      <c r="F38" s="3">
        <v>10</v>
      </c>
      <c r="G38" s="2">
        <f t="shared" si="0"/>
        <v>10</v>
      </c>
      <c r="H38" s="3">
        <v>4000</v>
      </c>
      <c r="I38" s="2">
        <f t="shared" si="1"/>
        <v>4000</v>
      </c>
      <c r="J38" t="str">
        <f t="shared" si="3"/>
        <v>Saturday</v>
      </c>
    </row>
    <row r="39" spans="1:10" x14ac:dyDescent="0.3">
      <c r="A39" s="16" t="s">
        <v>6</v>
      </c>
      <c r="B39" s="10" t="s">
        <v>79</v>
      </c>
      <c r="C39" s="7" t="str">
        <f t="shared" si="2"/>
        <v>Jun</v>
      </c>
      <c r="D39" s="2" t="s">
        <v>80</v>
      </c>
      <c r="E39" s="13" t="s">
        <v>110</v>
      </c>
      <c r="F39" s="3">
        <v>14</v>
      </c>
      <c r="G39" s="2">
        <f t="shared" si="0"/>
        <v>14</v>
      </c>
      <c r="H39" s="3">
        <v>5600</v>
      </c>
      <c r="I39" s="2">
        <f t="shared" si="1"/>
        <v>5600</v>
      </c>
      <c r="J39" t="str">
        <f t="shared" si="3"/>
        <v>Saturday</v>
      </c>
    </row>
    <row r="40" spans="1:10" x14ac:dyDescent="0.3">
      <c r="A40" s="15" t="s">
        <v>13</v>
      </c>
      <c r="B40" s="9" t="s">
        <v>81</v>
      </c>
      <c r="C40" s="7" t="str">
        <f t="shared" si="2"/>
        <v>Aug</v>
      </c>
      <c r="D40" s="3" t="s">
        <v>82</v>
      </c>
      <c r="E40" s="14" t="s">
        <v>116</v>
      </c>
      <c r="F40" s="2">
        <v>7</v>
      </c>
      <c r="G40" s="2">
        <f t="shared" si="0"/>
        <v>7</v>
      </c>
      <c r="H40" s="2">
        <v>1050</v>
      </c>
      <c r="I40" s="2">
        <f t="shared" si="1"/>
        <v>1050</v>
      </c>
      <c r="J40" t="str">
        <f t="shared" si="3"/>
        <v>Saturday</v>
      </c>
    </row>
    <row r="41" spans="1:10" x14ac:dyDescent="0.3">
      <c r="A41" s="16" t="s">
        <v>16</v>
      </c>
      <c r="B41" s="10" t="s">
        <v>83</v>
      </c>
      <c r="C41" s="7" t="str">
        <f t="shared" si="2"/>
        <v>Oct</v>
      </c>
      <c r="D41" s="2" t="s">
        <v>84</v>
      </c>
      <c r="E41" s="13" t="s">
        <v>114</v>
      </c>
      <c r="F41" s="3">
        <v>2</v>
      </c>
      <c r="G41" s="2">
        <f t="shared" si="0"/>
        <v>2</v>
      </c>
      <c r="H41" s="3">
        <v>300</v>
      </c>
      <c r="I41" s="2">
        <f t="shared" si="1"/>
        <v>300</v>
      </c>
      <c r="J41" t="str">
        <f t="shared" si="3"/>
        <v>Tuesday</v>
      </c>
    </row>
    <row r="42" spans="1:10" x14ac:dyDescent="0.3">
      <c r="A42" s="16" t="s">
        <v>19</v>
      </c>
      <c r="B42" s="10" t="s">
        <v>85</v>
      </c>
      <c r="C42" s="7" t="str">
        <f t="shared" si="2"/>
        <v>Mar</v>
      </c>
      <c r="D42" s="2" t="s">
        <v>86</v>
      </c>
      <c r="E42" s="13" t="s">
        <v>112</v>
      </c>
      <c r="F42" s="3">
        <v>5</v>
      </c>
      <c r="G42" s="2">
        <f t="shared" si="0"/>
        <v>5</v>
      </c>
      <c r="H42" s="3">
        <v>750</v>
      </c>
      <c r="I42" s="2">
        <f t="shared" si="1"/>
        <v>750</v>
      </c>
      <c r="J42" t="str">
        <f t="shared" si="3"/>
        <v>Tuesday</v>
      </c>
    </row>
    <row r="43" spans="1:10" x14ac:dyDescent="0.3">
      <c r="A43" s="15" t="s">
        <v>6</v>
      </c>
      <c r="B43" s="9" t="s">
        <v>87</v>
      </c>
      <c r="C43" s="7" t="str">
        <f t="shared" si="2"/>
        <v>Feb</v>
      </c>
      <c r="D43" s="3" t="s">
        <v>88</v>
      </c>
      <c r="E43" s="13" t="s">
        <v>110</v>
      </c>
      <c r="F43" s="2">
        <v>9</v>
      </c>
      <c r="G43" s="2">
        <f t="shared" si="0"/>
        <v>9</v>
      </c>
      <c r="H43" s="2">
        <v>3600</v>
      </c>
      <c r="I43" s="2">
        <f t="shared" si="1"/>
        <v>3600</v>
      </c>
      <c r="J43" t="str">
        <f t="shared" si="3"/>
        <v>Monday</v>
      </c>
    </row>
    <row r="44" spans="1:10" x14ac:dyDescent="0.3">
      <c r="A44" s="16" t="s">
        <v>6</v>
      </c>
      <c r="B44" s="10" t="s">
        <v>89</v>
      </c>
      <c r="C44" s="7" t="str">
        <f t="shared" si="2"/>
        <v>Nov</v>
      </c>
      <c r="D44" s="2" t="s">
        <v>90</v>
      </c>
      <c r="E44" s="14" t="s">
        <v>116</v>
      </c>
      <c r="F44" s="3">
        <v>3</v>
      </c>
      <c r="G44" s="2">
        <f t="shared" si="0"/>
        <v>3</v>
      </c>
      <c r="H44" s="3">
        <v>450</v>
      </c>
      <c r="I44" s="2">
        <f t="shared" si="1"/>
        <v>450</v>
      </c>
      <c r="J44" t="str">
        <f t="shared" si="3"/>
        <v>Saturday</v>
      </c>
    </row>
    <row r="45" spans="1:10" x14ac:dyDescent="0.3">
      <c r="A45" s="15" t="s">
        <v>8</v>
      </c>
      <c r="B45" s="9" t="s">
        <v>91</v>
      </c>
      <c r="C45" s="7" t="str">
        <f t="shared" si="2"/>
        <v>Dec</v>
      </c>
      <c r="D45" s="3" t="s">
        <v>92</v>
      </c>
      <c r="E45" s="13" t="s">
        <v>114</v>
      </c>
      <c r="F45" s="2">
        <v>8</v>
      </c>
      <c r="G45" s="2">
        <f t="shared" si="0"/>
        <v>8</v>
      </c>
      <c r="H45" s="2">
        <v>3200</v>
      </c>
      <c r="I45" s="2">
        <f t="shared" si="1"/>
        <v>3200</v>
      </c>
      <c r="J45" t="str">
        <f t="shared" si="3"/>
        <v>Tuesday</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showGridLines="0" zoomScaleNormal="100" workbookViewId="0">
      <selection activeCell="A2" sqref="A2:A10"/>
    </sheetView>
  </sheetViews>
  <sheetFormatPr defaultColWidth="8.6640625" defaultRowHeight="14.4" x14ac:dyDescent="0.3"/>
  <cols>
    <col min="1" max="3" width="20" customWidth="1"/>
  </cols>
  <sheetData>
    <row r="1" spans="1:3" x14ac:dyDescent="0.3">
      <c r="A1" s="1" t="s">
        <v>1</v>
      </c>
      <c r="B1" s="1" t="s">
        <v>93</v>
      </c>
      <c r="C1" s="1" t="s">
        <v>94</v>
      </c>
    </row>
    <row r="2" spans="1:3" x14ac:dyDescent="0.3">
      <c r="A2" s="2" t="s">
        <v>8</v>
      </c>
      <c r="B2" s="5" t="s">
        <v>95</v>
      </c>
      <c r="C2" s="5" t="s">
        <v>96</v>
      </c>
    </row>
    <row r="3" spans="1:3" x14ac:dyDescent="0.3">
      <c r="A3" s="3" t="s">
        <v>13</v>
      </c>
      <c r="B3" s="6" t="s">
        <v>97</v>
      </c>
      <c r="C3" s="6" t="s">
        <v>96</v>
      </c>
    </row>
    <row r="4" spans="1:3" x14ac:dyDescent="0.3">
      <c r="A4" s="2" t="s">
        <v>11</v>
      </c>
      <c r="B4" s="5" t="s">
        <v>98</v>
      </c>
      <c r="C4" s="5" t="s">
        <v>99</v>
      </c>
    </row>
    <row r="5" spans="1:3" x14ac:dyDescent="0.3">
      <c r="A5" s="3" t="s">
        <v>30</v>
      </c>
      <c r="B5" s="6" t="s">
        <v>100</v>
      </c>
      <c r="C5" s="6" t="s">
        <v>101</v>
      </c>
    </row>
    <row r="6" spans="1:3" x14ac:dyDescent="0.3">
      <c r="A6" s="2" t="s">
        <v>16</v>
      </c>
      <c r="B6" s="5" t="s">
        <v>102</v>
      </c>
      <c r="C6" s="5" t="s">
        <v>96</v>
      </c>
    </row>
    <row r="7" spans="1:3" x14ac:dyDescent="0.3">
      <c r="A7" s="3" t="s">
        <v>22</v>
      </c>
      <c r="B7" s="6" t="s">
        <v>103</v>
      </c>
      <c r="C7" s="6" t="s">
        <v>104</v>
      </c>
    </row>
    <row r="8" spans="1:3" x14ac:dyDescent="0.3">
      <c r="A8" s="2" t="s">
        <v>19</v>
      </c>
      <c r="B8" s="5" t="s">
        <v>105</v>
      </c>
      <c r="C8" s="5" t="s">
        <v>96</v>
      </c>
    </row>
    <row r="9" spans="1:3" x14ac:dyDescent="0.3">
      <c r="A9" s="3" t="s">
        <v>67</v>
      </c>
      <c r="B9" s="6" t="s">
        <v>106</v>
      </c>
      <c r="C9" s="6" t="s">
        <v>104</v>
      </c>
    </row>
    <row r="10" spans="1:3" x14ac:dyDescent="0.3">
      <c r="A10" s="2" t="s">
        <v>6</v>
      </c>
      <c r="B10" s="5" t="s">
        <v>107</v>
      </c>
      <c r="C10" s="5" t="s">
        <v>96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showGridLines="0" zoomScaleNormal="100" workbookViewId="0"/>
  </sheetViews>
  <sheetFormatPr defaultColWidth="8.6640625" defaultRowHeight="14.4" x14ac:dyDescent="0.3"/>
  <cols>
    <col min="1" max="3" width="22" customWidth="1"/>
  </cols>
  <sheetData>
    <row r="1" spans="1:3" x14ac:dyDescent="0.3">
      <c r="A1" s="1" t="s">
        <v>108</v>
      </c>
      <c r="B1" s="1" t="s">
        <v>109</v>
      </c>
      <c r="C1" s="1" t="s">
        <v>109</v>
      </c>
    </row>
    <row r="2" spans="1:3" x14ac:dyDescent="0.3">
      <c r="A2" s="2" t="s">
        <v>110</v>
      </c>
      <c r="B2" s="5" t="s">
        <v>111</v>
      </c>
      <c r="C2" s="5" t="str">
        <f>PROPER(B2)</f>
        <v>North</v>
      </c>
    </row>
    <row r="3" spans="1:3" x14ac:dyDescent="0.3">
      <c r="A3" s="3" t="s">
        <v>112</v>
      </c>
      <c r="B3" s="6" t="s">
        <v>113</v>
      </c>
      <c r="C3" s="5" t="str">
        <f t="shared" ref="C3:C5" si="0">PROPER(B3)</f>
        <v>South</v>
      </c>
    </row>
    <row r="4" spans="1:3" x14ac:dyDescent="0.3">
      <c r="A4" s="2" t="s">
        <v>114</v>
      </c>
      <c r="B4" s="5" t="s">
        <v>115</v>
      </c>
      <c r="C4" s="5" t="str">
        <f t="shared" si="0"/>
        <v>East</v>
      </c>
    </row>
    <row r="5" spans="1:3" x14ac:dyDescent="0.3">
      <c r="A5" s="3" t="s">
        <v>116</v>
      </c>
      <c r="B5" s="6" t="s">
        <v>117</v>
      </c>
      <c r="C5" s="5" t="str">
        <f t="shared" si="0"/>
        <v>West</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60078-CA96-42E9-B320-BDC8CD6A765D}">
  <dimension ref="A1:I10"/>
  <sheetViews>
    <sheetView workbookViewId="0">
      <selection activeCell="B2" sqref="B2"/>
    </sheetView>
  </sheetViews>
  <sheetFormatPr defaultRowHeight="14.4" x14ac:dyDescent="0.3"/>
  <cols>
    <col min="1" max="1" width="12.44140625" customWidth="1"/>
    <col min="2" max="2" width="19" customWidth="1"/>
    <col min="3" max="3" width="12.6640625" customWidth="1"/>
    <col min="4" max="4" width="12.21875" customWidth="1"/>
    <col min="5" max="5" width="12.88671875" customWidth="1"/>
    <col min="6" max="7" width="11.77734375" customWidth="1"/>
    <col min="8" max="8" width="15.88671875" customWidth="1"/>
    <col min="9" max="9" width="14.44140625" bestFit="1" customWidth="1"/>
  </cols>
  <sheetData>
    <row r="1" spans="1:9" x14ac:dyDescent="0.3">
      <c r="A1" s="17" t="s">
        <v>1</v>
      </c>
      <c r="B1" s="18" t="s">
        <v>93</v>
      </c>
      <c r="C1" s="18" t="s">
        <v>94</v>
      </c>
      <c r="D1" s="18" t="s">
        <v>118</v>
      </c>
      <c r="E1" s="26" t="s">
        <v>122</v>
      </c>
      <c r="F1" s="18" t="s">
        <v>108</v>
      </c>
      <c r="G1" s="20" t="s">
        <v>136</v>
      </c>
      <c r="H1" s="20" t="s">
        <v>3</v>
      </c>
      <c r="I1" s="28" t="s">
        <v>123</v>
      </c>
    </row>
    <row r="2" spans="1:9" x14ac:dyDescent="0.3">
      <c r="A2" s="15" t="s">
        <v>8</v>
      </c>
      <c r="B2" s="21" t="str">
        <f>VLOOKUP(A2,Products!$A$1:$C$10,2,0)</f>
        <v>Wireless Mouse</v>
      </c>
      <c r="C2" s="21" t="str">
        <f>VLOOKUP(A2,Products!$A$1:$C$10,3,0)</f>
        <v>Electronics</v>
      </c>
      <c r="D2" s="21" t="str">
        <f>VLOOKUP(A2,Sales!$A$1:$I$45,4,0)</f>
        <v>ORD-1002</v>
      </c>
      <c r="E2" s="21" t="str">
        <f>VLOOKUP($A2,Sales!$A$1:$I$45,3,0)</f>
        <v>Jan</v>
      </c>
      <c r="F2" s="21" t="str">
        <f>VLOOKUP($A2,Sales!$A$1:$I$45,5,0)</f>
        <v>R01</v>
      </c>
      <c r="G2" s="21" t="str">
        <f>VLOOKUP($F2,Regions!$A$1:$C$5,3,0)</f>
        <v>North</v>
      </c>
      <c r="H2" s="22">
        <f>VLOOKUP($A2,Sales!$A$1:$I$45,9,0)</f>
        <v>450</v>
      </c>
      <c r="I2" s="22" t="str">
        <f>VLOOKUP($A2,Table2[#All],10,0)</f>
        <v>Sunday</v>
      </c>
    </row>
    <row r="3" spans="1:9" x14ac:dyDescent="0.3">
      <c r="A3" s="16" t="s">
        <v>13</v>
      </c>
      <c r="B3" s="21" t="str">
        <f>VLOOKUP(A3,Products!$A$1:$C$10,2,0)</f>
        <v>USB-C Hub</v>
      </c>
      <c r="C3" s="21" t="str">
        <f>VLOOKUP(A3,Products!$A$1:$C$10,3,0)</f>
        <v>Electronics</v>
      </c>
      <c r="D3" s="21" t="str">
        <f>VLOOKUP(A3,Sales!$A$1:$I$45,4,0)</f>
        <v>ORD-1004</v>
      </c>
      <c r="E3" s="21" t="str">
        <f>VLOOKUP($A3,Sales!$A$1:$I$45,3,0)</f>
        <v>Feb</v>
      </c>
      <c r="F3" s="21" t="str">
        <f>VLOOKUP($A3,Sales!$A$1:$I$45,5,0)</f>
        <v>R03</v>
      </c>
      <c r="G3" s="22" t="str">
        <f>VLOOKUP($F3,Regions!$A$1:$C$5,3,0)</f>
        <v>East</v>
      </c>
      <c r="H3" s="22">
        <f>VLOOKUP($A3,Sales!$A$1:$I$45,9,0)</f>
        <v>2400</v>
      </c>
      <c r="I3" s="21" t="str">
        <f>VLOOKUP($A3,Table2[#All],10,0)</f>
        <v>Thursday</v>
      </c>
    </row>
    <row r="4" spans="1:9" x14ac:dyDescent="0.3">
      <c r="A4" s="15" t="s">
        <v>11</v>
      </c>
      <c r="B4" s="21" t="str">
        <f>VLOOKUP(A4,Products!$A$1:$C$10,2,0)</f>
        <v>Desk Lamp</v>
      </c>
      <c r="C4" s="21" t="str">
        <f>VLOOKUP(A4,Products!$A$1:$C$10,3,0)</f>
        <v>Home &amp; Office</v>
      </c>
      <c r="D4" s="21" t="str">
        <f>VLOOKUP(A4,Sales!$A$1:$I$45,4,0)</f>
        <v>ORD-1003</v>
      </c>
      <c r="E4" s="21" t="str">
        <f>VLOOKUP($A4,Sales!$A$1:$I$45,3,0)</f>
        <v>Feb</v>
      </c>
      <c r="F4" s="21" t="str">
        <f>VLOOKUP($A4,Sales!$A$1:$I$45,5,0)</f>
        <v>R04</v>
      </c>
      <c r="G4" s="22" t="str">
        <f>VLOOKUP($F4,Regions!$A$1:$C$5,3,0)</f>
        <v>West</v>
      </c>
      <c r="H4" s="22">
        <f>VLOOKUP($A4,Sales!$A$1:$I$45,9,0)</f>
        <v>2528</v>
      </c>
      <c r="I4" s="21" t="str">
        <f>VLOOKUP($A4,Table2[#All],10,0)</f>
        <v>Friday</v>
      </c>
    </row>
    <row r="5" spans="1:9" x14ac:dyDescent="0.3">
      <c r="A5" s="16" t="s">
        <v>30</v>
      </c>
      <c r="B5" s="21" t="str">
        <f>VLOOKUP(A5,Products!$A$1:$C$10,2,0)</f>
        <v>Notebook Set</v>
      </c>
      <c r="C5" s="21" t="str">
        <f>VLOOKUP(A5,Products!$A$1:$C$10,3,0)</f>
        <v>Stationery</v>
      </c>
      <c r="D5" s="21" t="str">
        <f>VLOOKUP(A5,Sales!$A$1:$I$45,4,0)</f>
        <v>ORD-1013</v>
      </c>
      <c r="E5" s="21" t="str">
        <f>VLOOKUP($A5,Sales!$A$1:$I$45,3,0)</f>
        <v>May</v>
      </c>
      <c r="F5" s="21" t="str">
        <f>VLOOKUP($A5,Sales!$A$1:$I$45,5,0)</f>
        <v>R03</v>
      </c>
      <c r="G5" s="22" t="str">
        <f>VLOOKUP($F5,Regions!$A$1:$C$5,3,0)</f>
        <v>East</v>
      </c>
      <c r="H5" s="22">
        <f>VLOOKUP($A5,Sales!$A$1:$I$45,9,0)</f>
        <v>4200</v>
      </c>
      <c r="I5" s="21" t="str">
        <f>VLOOKUP($A5,Table2[#All],10,0)</f>
        <v>Monday</v>
      </c>
    </row>
    <row r="6" spans="1:9" x14ac:dyDescent="0.3">
      <c r="A6" s="15" t="s">
        <v>16</v>
      </c>
      <c r="B6" s="21" t="str">
        <f>VLOOKUP(A6,Products!$A$1:$C$10,2,0)</f>
        <v>Bluetooth Speaker</v>
      </c>
      <c r="C6" s="21" t="str">
        <f>VLOOKUP(A6,Products!$A$1:$C$10,3,0)</f>
        <v>Electronics</v>
      </c>
      <c r="D6" s="21" t="str">
        <f>VLOOKUP(A6,Sales!$A$1:$I$45,4,0)</f>
        <v>ORD-1005</v>
      </c>
      <c r="E6" s="21" t="str">
        <f>VLOOKUP($A6,Sales!$A$1:$I$45,3,0)</f>
        <v>Feb</v>
      </c>
      <c r="F6" s="21" t="str">
        <f>VLOOKUP($A6,Sales!$A$1:$I$45,5,0)</f>
        <v>R02</v>
      </c>
      <c r="G6" s="22" t="str">
        <f>VLOOKUP($F6,Regions!$A$1:$C$5,3,0)</f>
        <v>South</v>
      </c>
      <c r="H6" s="22">
        <f>VLOOKUP($A6,Sales!$A$1:$I$45,9,0)</f>
        <v>7500</v>
      </c>
      <c r="I6" s="21" t="str">
        <f>VLOOKUP($A6,Table2[#All],10,0)</f>
        <v>Tuesday</v>
      </c>
    </row>
    <row r="7" spans="1:9" x14ac:dyDescent="0.3">
      <c r="A7" s="16" t="s">
        <v>22</v>
      </c>
      <c r="B7" s="21" t="str">
        <f>VLOOKUP(A7,Products!$A$1:$C$10,2,0)</f>
        <v>Standing Desk</v>
      </c>
      <c r="C7" s="21" t="str">
        <f>VLOOKUP(A7,Products!$A$1:$C$10,3,0)</f>
        <v>Furniture</v>
      </c>
      <c r="D7" s="21" t="str">
        <f>VLOOKUP(A7,Sales!$A$1:$I$45,4,0)</f>
        <v>ORD-1009</v>
      </c>
      <c r="E7" s="21" t="str">
        <f>VLOOKUP($A7,Sales!$A$1:$I$45,3,0)</f>
        <v>Apr</v>
      </c>
      <c r="F7" s="21" t="str">
        <f>VLOOKUP($A7,Sales!$A$1:$I$45,5,0)</f>
        <v>R03</v>
      </c>
      <c r="G7" s="22" t="str">
        <f>VLOOKUP($F7,Regions!$A$1:$C$5,3,0)</f>
        <v>East</v>
      </c>
      <c r="H7" s="22">
        <f>VLOOKUP($A7,Sales!$A$1:$I$45,9,0)</f>
        <v>900</v>
      </c>
      <c r="I7" s="21" t="str">
        <f>VLOOKUP($A7,Table2[#All],10,0)</f>
        <v>Saturday</v>
      </c>
    </row>
    <row r="8" spans="1:9" x14ac:dyDescent="0.3">
      <c r="A8" s="15" t="s">
        <v>19</v>
      </c>
      <c r="B8" s="21" t="str">
        <f>VLOOKUP(A8,Products!$A$1:$C$10,2,0)</f>
        <v>Webcam HD</v>
      </c>
      <c r="C8" s="21" t="str">
        <f>VLOOKUP(A8,Products!$A$1:$C$10,3,0)</f>
        <v>Electronics</v>
      </c>
      <c r="D8" s="21" t="str">
        <f>VLOOKUP(A8,Sales!$A$1:$I$45,4,0)</f>
        <v>ORD-1006</v>
      </c>
      <c r="E8" s="21" t="str">
        <f>VLOOKUP($A8,Sales!$A$1:$I$45,3,0)</f>
        <v>Mar</v>
      </c>
      <c r="F8" s="21" t="str">
        <f>VLOOKUP($A8,Sales!$A$1:$I$45,5,0)</f>
        <v>R01</v>
      </c>
      <c r="G8" s="22" t="str">
        <f>VLOOKUP($F8,Regions!$A$1:$C$5,3,0)</f>
        <v>North</v>
      </c>
      <c r="H8" s="22">
        <f>VLOOKUP($A8,Sales!$A$1:$I$45,9,0)</f>
        <v>300</v>
      </c>
      <c r="I8" s="21" t="str">
        <f>VLOOKUP($A8,Table2[#All],10,0)</f>
        <v>Friday</v>
      </c>
    </row>
    <row r="9" spans="1:9" x14ac:dyDescent="0.3">
      <c r="A9" s="16" t="s">
        <v>67</v>
      </c>
      <c r="B9" s="21" t="str">
        <f>VLOOKUP(A9,Products!$A$1:$C$10,2,0)</f>
        <v>Ergonomic Chair</v>
      </c>
      <c r="C9" s="21" t="str">
        <f>VLOOKUP(A9,Products!$A$1:$C$10,3,0)</f>
        <v>Furniture</v>
      </c>
      <c r="D9" s="21" t="str">
        <f>VLOOKUP(A9,Sales!$A$1:$I$45,4,0)</f>
        <v>ORD-1035</v>
      </c>
      <c r="E9" s="21" t="str">
        <f>VLOOKUP($A9,Sales!$A$1:$I$45,3,0)</f>
        <v>Dec</v>
      </c>
      <c r="F9" s="21" t="str">
        <f>VLOOKUP($A9,Sales!$A$1:$I$45,5,0)</f>
        <v>R03</v>
      </c>
      <c r="G9" s="22" t="str">
        <f>VLOOKUP($F9,Regions!$A$1:$C$5,3,0)</f>
        <v>East</v>
      </c>
      <c r="H9" s="22">
        <f>VLOOKUP($A9,Sales!$A$1:$I$45,9,0)</f>
        <v>4500</v>
      </c>
      <c r="I9" s="21" t="str">
        <f>VLOOKUP($A9,Table2[#All],10,0)</f>
        <v>Sunday</v>
      </c>
    </row>
    <row r="10" spans="1:9" x14ac:dyDescent="0.3">
      <c r="A10" s="23" t="s">
        <v>6</v>
      </c>
      <c r="B10" s="24" t="str">
        <f>VLOOKUP(A10,Products!$A$1:$C$10,2,0)</f>
        <v>Pen Drive 64GB</v>
      </c>
      <c r="C10" s="24" t="str">
        <f>VLOOKUP(A10,Products!$A$1:$C$10,3,0)</f>
        <v>Electronics</v>
      </c>
      <c r="D10" s="24" t="str">
        <f>VLOOKUP(A10,Sales!$A$1:$I$45,4,0)</f>
        <v>ORD-1000</v>
      </c>
      <c r="E10" s="24" t="str">
        <f>VLOOKUP($A10,Sales!$A$1:$I$45,3,0)</f>
        <v>Jan</v>
      </c>
      <c r="F10" s="24" t="str">
        <f>VLOOKUP($A10,Sales!$A$1:$I$45,5,0)</f>
        <v>R02</v>
      </c>
      <c r="G10" s="19" t="str">
        <f>VLOOKUP($F10,Regions!$A$1:$C$5,3,0)</f>
        <v>South</v>
      </c>
      <c r="H10" s="19">
        <f>VLOOKUP($A10,Sales!$A$1:$I$45,9,0)</f>
        <v>1500</v>
      </c>
      <c r="I10" s="24" t="str">
        <f>VLOOKUP($A10,Table2[#All],10,0)</f>
        <v>Thursday</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73FCA-A8F0-4E95-A5F2-1B1A23726793}">
  <dimension ref="A2:U41"/>
  <sheetViews>
    <sheetView showGridLines="0" topLeftCell="A10" zoomScale="101" workbookViewId="0">
      <selection activeCell="G37" sqref="G37"/>
    </sheetView>
  </sheetViews>
  <sheetFormatPr defaultRowHeight="14.4" x14ac:dyDescent="0.3"/>
  <cols>
    <col min="1" max="1" width="13.44140625" bestFit="1" customWidth="1"/>
    <col min="2" max="2" width="19.109375" bestFit="1" customWidth="1"/>
    <col min="11" max="12" width="2.77734375" customWidth="1"/>
    <col min="13" max="13" width="19.109375" bestFit="1" customWidth="1"/>
    <col min="14" max="14" width="15.77734375" bestFit="1" customWidth="1"/>
    <col min="15" max="15" width="9.21875" bestFit="1" customWidth="1"/>
    <col min="16" max="16" width="13.77734375" bestFit="1" customWidth="1"/>
    <col min="17" max="17" width="10.109375" bestFit="1" customWidth="1"/>
    <col min="18" max="18" width="11.109375" bestFit="1" customWidth="1"/>
    <col min="19" max="19" width="10.5546875" bestFit="1" customWidth="1"/>
    <col min="20" max="20" width="10" bestFit="1" customWidth="1"/>
    <col min="21" max="21" width="10.6640625" bestFit="1" customWidth="1"/>
    <col min="22" max="22" width="13.44140625" bestFit="1" customWidth="1"/>
    <col min="23" max="23" width="9.88671875" bestFit="1" customWidth="1"/>
    <col min="24" max="24" width="10.77734375" bestFit="1" customWidth="1"/>
  </cols>
  <sheetData>
    <row r="2" spans="1:21" x14ac:dyDescent="0.3">
      <c r="A2" s="29"/>
      <c r="B2" s="30"/>
      <c r="C2" s="30"/>
      <c r="D2" s="30"/>
      <c r="E2" s="30"/>
      <c r="F2" s="30"/>
      <c r="G2" s="30"/>
      <c r="H2" s="30"/>
      <c r="I2" s="31"/>
      <c r="L2" s="29"/>
      <c r="M2" s="30"/>
      <c r="N2" s="30"/>
      <c r="O2" s="30"/>
      <c r="P2" s="30"/>
      <c r="Q2" s="30"/>
      <c r="R2" s="30"/>
      <c r="S2" s="30"/>
      <c r="T2" s="30"/>
      <c r="U2" s="31"/>
    </row>
    <row r="3" spans="1:21" x14ac:dyDescent="0.3">
      <c r="A3" s="32" t="s">
        <v>119</v>
      </c>
      <c r="B3" s="32" t="s">
        <v>121</v>
      </c>
      <c r="C3" s="33"/>
      <c r="D3" s="33"/>
      <c r="E3" s="33"/>
      <c r="F3" s="33"/>
      <c r="G3" s="33"/>
      <c r="H3" s="33"/>
      <c r="I3" s="34"/>
      <c r="L3" s="36"/>
      <c r="M3" s="40"/>
      <c r="N3" s="33"/>
      <c r="O3" s="33"/>
      <c r="P3" s="33"/>
      <c r="Q3" s="33"/>
      <c r="R3" s="33"/>
      <c r="S3" s="33"/>
      <c r="T3" s="33"/>
      <c r="U3" s="34"/>
    </row>
    <row r="4" spans="1:21" x14ac:dyDescent="0.3">
      <c r="A4" s="41" t="s">
        <v>137</v>
      </c>
      <c r="B4" s="42">
        <v>1950</v>
      </c>
      <c r="C4" s="33"/>
      <c r="D4" s="33"/>
      <c r="E4" s="33"/>
      <c r="F4" s="33"/>
      <c r="G4" s="33"/>
      <c r="H4" s="33"/>
      <c r="I4" s="34"/>
      <c r="L4" s="36"/>
      <c r="M4" s="32" t="s">
        <v>119</v>
      </c>
      <c r="N4" s="32" t="s">
        <v>121</v>
      </c>
      <c r="O4" s="33"/>
      <c r="P4" s="33"/>
      <c r="Q4" s="33"/>
      <c r="R4" s="33"/>
      <c r="S4" s="33"/>
      <c r="T4" s="33"/>
      <c r="U4" s="34"/>
    </row>
    <row r="5" spans="1:21" x14ac:dyDescent="0.3">
      <c r="A5" s="43" t="s">
        <v>138</v>
      </c>
      <c r="B5" s="44">
        <v>12428</v>
      </c>
      <c r="C5" s="33"/>
      <c r="D5" s="33"/>
      <c r="E5" s="33"/>
      <c r="F5" s="33"/>
      <c r="G5" s="33"/>
      <c r="H5" s="33"/>
      <c r="I5" s="34"/>
      <c r="L5" s="36"/>
      <c r="M5" s="35" t="s">
        <v>129</v>
      </c>
      <c r="N5" s="32">
        <v>4950</v>
      </c>
      <c r="O5" s="33"/>
      <c r="P5" s="33"/>
      <c r="Q5" s="33"/>
      <c r="R5" s="33"/>
      <c r="S5" s="33"/>
      <c r="T5" s="33"/>
      <c r="U5" s="34"/>
    </row>
    <row r="6" spans="1:21" x14ac:dyDescent="0.3">
      <c r="A6" s="43" t="s">
        <v>135</v>
      </c>
      <c r="B6" s="44">
        <v>300</v>
      </c>
      <c r="C6" s="33"/>
      <c r="D6" s="33"/>
      <c r="E6" s="33"/>
      <c r="F6" s="33"/>
      <c r="G6" s="33"/>
      <c r="H6" s="33"/>
      <c r="I6" s="34"/>
      <c r="L6" s="36"/>
      <c r="M6" s="35" t="s">
        <v>130</v>
      </c>
      <c r="N6" s="32">
        <v>4200</v>
      </c>
      <c r="O6" s="33"/>
      <c r="P6" s="33"/>
      <c r="Q6" s="33"/>
      <c r="R6" s="33"/>
      <c r="S6" s="33"/>
      <c r="T6" s="33"/>
      <c r="U6" s="34"/>
    </row>
    <row r="7" spans="1:21" x14ac:dyDescent="0.3">
      <c r="A7" s="43" t="s">
        <v>139</v>
      </c>
      <c r="B7" s="44">
        <v>900</v>
      </c>
      <c r="C7" s="33"/>
      <c r="D7" s="33"/>
      <c r="E7" s="33"/>
      <c r="F7" s="33"/>
      <c r="G7" s="33"/>
      <c r="H7" s="33"/>
      <c r="I7" s="34"/>
      <c r="L7" s="36"/>
      <c r="M7" s="35" t="s">
        <v>131</v>
      </c>
      <c r="N7" s="32">
        <v>7500</v>
      </c>
      <c r="O7" s="33"/>
      <c r="P7" s="33"/>
      <c r="Q7" s="33"/>
      <c r="R7" s="33"/>
      <c r="S7" s="33"/>
      <c r="T7" s="33"/>
      <c r="U7" s="34"/>
    </row>
    <row r="8" spans="1:21" x14ac:dyDescent="0.3">
      <c r="A8" s="43" t="s">
        <v>140</v>
      </c>
      <c r="B8" s="44">
        <v>4200</v>
      </c>
      <c r="C8" s="33"/>
      <c r="D8" s="33"/>
      <c r="E8" s="33"/>
      <c r="F8" s="33"/>
      <c r="G8" s="33"/>
      <c r="H8" s="33"/>
      <c r="I8" s="34"/>
      <c r="L8" s="36"/>
      <c r="M8" s="35" t="s">
        <v>132</v>
      </c>
      <c r="N8" s="32">
        <v>3900</v>
      </c>
      <c r="O8" s="33"/>
      <c r="P8" s="33"/>
      <c r="Q8" s="33"/>
      <c r="R8" s="33"/>
      <c r="S8" s="33"/>
      <c r="T8" s="33"/>
      <c r="U8" s="34"/>
    </row>
    <row r="9" spans="1:21" x14ac:dyDescent="0.3">
      <c r="A9" s="45" t="s">
        <v>141</v>
      </c>
      <c r="B9" s="44">
        <v>4500</v>
      </c>
      <c r="C9" s="33"/>
      <c r="D9" s="33"/>
      <c r="E9" s="33"/>
      <c r="F9" s="33"/>
      <c r="G9" s="33"/>
      <c r="H9" s="33"/>
      <c r="I9" s="34"/>
      <c r="L9" s="36"/>
      <c r="M9" s="35" t="s">
        <v>133</v>
      </c>
      <c r="N9" s="32">
        <v>2828</v>
      </c>
      <c r="O9" s="33"/>
      <c r="P9" s="33"/>
      <c r="Q9" s="33"/>
      <c r="R9" s="33"/>
      <c r="S9" s="33"/>
      <c r="T9" s="33"/>
      <c r="U9" s="34"/>
    </row>
    <row r="10" spans="1:21" x14ac:dyDescent="0.3">
      <c r="A10" s="35" t="s">
        <v>120</v>
      </c>
      <c r="B10" s="46">
        <v>24278</v>
      </c>
      <c r="C10" s="33"/>
      <c r="D10" s="33"/>
      <c r="E10" s="33"/>
      <c r="F10" s="33"/>
      <c r="G10" s="33"/>
      <c r="H10" s="33"/>
      <c r="I10" s="34"/>
      <c r="L10" s="36"/>
      <c r="M10" s="35" t="s">
        <v>134</v>
      </c>
      <c r="N10" s="32">
        <v>900</v>
      </c>
      <c r="O10" s="33"/>
      <c r="P10" s="33"/>
      <c r="Q10" s="33"/>
      <c r="R10" s="33"/>
      <c r="S10" s="33"/>
      <c r="T10" s="33"/>
      <c r="U10" s="34"/>
    </row>
    <row r="11" spans="1:21" x14ac:dyDescent="0.3">
      <c r="A11" s="36"/>
      <c r="B11" s="33"/>
      <c r="C11" s="33"/>
      <c r="D11" s="33"/>
      <c r="E11" s="33"/>
      <c r="F11" s="33"/>
      <c r="G11" s="33"/>
      <c r="H11" s="33"/>
      <c r="I11" s="34"/>
      <c r="L11" s="36"/>
      <c r="M11" s="35" t="s">
        <v>120</v>
      </c>
      <c r="N11" s="32">
        <v>24278</v>
      </c>
      <c r="O11" s="33"/>
      <c r="P11" s="33"/>
      <c r="Q11" s="33"/>
      <c r="R11" s="33"/>
      <c r="S11" s="33"/>
      <c r="T11" s="33"/>
      <c r="U11" s="34"/>
    </row>
    <row r="12" spans="1:21" x14ac:dyDescent="0.3">
      <c r="A12" s="36"/>
      <c r="B12" s="33"/>
      <c r="C12" s="33"/>
      <c r="D12" s="33"/>
      <c r="E12" s="33"/>
      <c r="F12" s="33"/>
      <c r="G12" s="33"/>
      <c r="H12" s="33"/>
      <c r="I12" s="34"/>
      <c r="L12" s="36"/>
      <c r="M12" s="33"/>
      <c r="N12" s="33"/>
      <c r="O12" s="33"/>
      <c r="P12" s="33"/>
      <c r="Q12" s="33"/>
      <c r="R12" s="33"/>
      <c r="S12" s="33"/>
      <c r="T12" s="33"/>
      <c r="U12" s="34"/>
    </row>
    <row r="13" spans="1:21" x14ac:dyDescent="0.3">
      <c r="A13" s="47" t="s">
        <v>144</v>
      </c>
      <c r="B13" s="48"/>
      <c r="C13" s="33"/>
      <c r="D13" s="33"/>
      <c r="E13" s="33"/>
      <c r="F13" s="33"/>
      <c r="G13" s="33"/>
      <c r="H13" s="33"/>
      <c r="I13" s="34"/>
      <c r="L13" s="36"/>
      <c r="M13" s="51" t="s">
        <v>145</v>
      </c>
      <c r="N13" s="52"/>
      <c r="O13" s="33"/>
      <c r="P13" s="33"/>
      <c r="Q13" s="33"/>
      <c r="R13" s="33"/>
      <c r="S13" s="33"/>
      <c r="T13" s="33"/>
      <c r="U13" s="34"/>
    </row>
    <row r="14" spans="1:21" x14ac:dyDescent="0.3">
      <c r="A14" s="49"/>
      <c r="B14" s="50"/>
      <c r="C14" s="33"/>
      <c r="D14" s="33"/>
      <c r="E14" s="33"/>
      <c r="F14" s="33"/>
      <c r="G14" s="33"/>
      <c r="H14" s="33"/>
      <c r="I14" s="34"/>
      <c r="L14" s="36"/>
      <c r="M14" s="53"/>
      <c r="N14" s="54"/>
      <c r="O14" s="33"/>
      <c r="P14" s="33"/>
      <c r="Q14" s="33"/>
      <c r="R14" s="33"/>
      <c r="S14" s="33"/>
      <c r="T14" s="33"/>
      <c r="U14" s="34"/>
    </row>
    <row r="15" spans="1:21" x14ac:dyDescent="0.3">
      <c r="A15" s="36"/>
      <c r="B15" s="33"/>
      <c r="C15" s="33"/>
      <c r="D15" s="33"/>
      <c r="E15" s="33"/>
      <c r="F15" s="33"/>
      <c r="G15" s="33"/>
      <c r="H15" s="33"/>
      <c r="I15" s="34"/>
      <c r="L15" s="36"/>
      <c r="M15" s="55"/>
      <c r="N15" s="56"/>
      <c r="O15" s="33"/>
      <c r="P15" s="33"/>
      <c r="Q15" s="33"/>
      <c r="R15" s="33"/>
      <c r="S15" s="33"/>
      <c r="T15" s="33"/>
      <c r="U15" s="34"/>
    </row>
    <row r="16" spans="1:21" x14ac:dyDescent="0.3">
      <c r="A16" s="37"/>
      <c r="B16" s="38"/>
      <c r="C16" s="38"/>
      <c r="D16" s="38"/>
      <c r="E16" s="38"/>
      <c r="F16" s="38"/>
      <c r="G16" s="38"/>
      <c r="H16" s="38"/>
      <c r="I16" s="39"/>
      <c r="L16" s="37"/>
      <c r="M16" s="38"/>
      <c r="N16" s="38"/>
      <c r="O16" s="38"/>
      <c r="P16" s="38"/>
      <c r="Q16" s="38"/>
      <c r="R16" s="38"/>
      <c r="S16" s="38"/>
      <c r="T16" s="38"/>
      <c r="U16" s="39"/>
    </row>
    <row r="18" spans="1:21" x14ac:dyDescent="0.3">
      <c r="A18" s="29"/>
      <c r="B18" s="30"/>
      <c r="C18" s="30"/>
      <c r="D18" s="30"/>
      <c r="E18" s="30"/>
      <c r="F18" s="30"/>
      <c r="G18" s="30"/>
      <c r="H18" s="30"/>
      <c r="I18" s="31"/>
      <c r="L18" s="33"/>
      <c r="M18" s="33"/>
      <c r="N18" s="33"/>
      <c r="O18" s="33"/>
      <c r="P18" s="33"/>
      <c r="Q18" s="33"/>
      <c r="R18" s="33"/>
      <c r="S18" s="33"/>
      <c r="T18" s="33"/>
      <c r="U18" s="33"/>
    </row>
    <row r="19" spans="1:21" x14ac:dyDescent="0.3">
      <c r="A19" s="32" t="s">
        <v>119</v>
      </c>
      <c r="B19" s="32" t="s">
        <v>121</v>
      </c>
      <c r="C19" s="33"/>
      <c r="D19" s="33"/>
      <c r="E19" s="33"/>
      <c r="F19" s="33"/>
      <c r="G19" s="33"/>
      <c r="H19" s="33"/>
      <c r="I19" s="34"/>
      <c r="L19" s="33"/>
      <c r="M19" s="32" t="s">
        <v>121</v>
      </c>
      <c r="N19" s="32" t="s">
        <v>128</v>
      </c>
      <c r="O19" s="32"/>
      <c r="P19" s="32"/>
      <c r="Q19" s="32"/>
      <c r="R19" s="32"/>
      <c r="S19" s="33"/>
      <c r="T19" s="33"/>
      <c r="U19" s="33"/>
    </row>
    <row r="20" spans="1:21" x14ac:dyDescent="0.3">
      <c r="A20" s="35" t="s">
        <v>96</v>
      </c>
      <c r="B20" s="32">
        <v>12150</v>
      </c>
      <c r="C20" s="33"/>
      <c r="D20" s="33"/>
      <c r="E20" s="33"/>
      <c r="F20" s="33"/>
      <c r="G20" s="33"/>
      <c r="H20" s="33"/>
      <c r="I20" s="34"/>
      <c r="L20" s="33"/>
      <c r="M20" s="32" t="s">
        <v>119</v>
      </c>
      <c r="N20" s="32" t="s">
        <v>96</v>
      </c>
      <c r="O20" s="32" t="s">
        <v>104</v>
      </c>
      <c r="P20" s="32" t="s">
        <v>99</v>
      </c>
      <c r="Q20" s="32" t="s">
        <v>101</v>
      </c>
      <c r="R20" s="32" t="s">
        <v>120</v>
      </c>
      <c r="S20" s="33"/>
      <c r="T20" s="33"/>
      <c r="U20" s="33"/>
    </row>
    <row r="21" spans="1:21" x14ac:dyDescent="0.3">
      <c r="A21" s="35" t="s">
        <v>104</v>
      </c>
      <c r="B21" s="32">
        <v>5400</v>
      </c>
      <c r="C21" s="33"/>
      <c r="D21" s="33"/>
      <c r="E21" s="33"/>
      <c r="F21" s="33"/>
      <c r="G21" s="33"/>
      <c r="H21" s="33"/>
      <c r="I21" s="34"/>
      <c r="L21" s="33"/>
      <c r="M21" s="35" t="s">
        <v>115</v>
      </c>
      <c r="N21" s="32">
        <v>2400</v>
      </c>
      <c r="O21" s="32">
        <v>5400</v>
      </c>
      <c r="P21" s="32"/>
      <c r="Q21" s="32">
        <v>4200</v>
      </c>
      <c r="R21" s="32">
        <v>12000</v>
      </c>
      <c r="S21" s="33"/>
      <c r="T21" s="33"/>
      <c r="U21" s="33"/>
    </row>
    <row r="22" spans="1:21" x14ac:dyDescent="0.3">
      <c r="A22" s="35" t="s">
        <v>99</v>
      </c>
      <c r="B22" s="32">
        <v>2528</v>
      </c>
      <c r="C22" s="33"/>
      <c r="D22" s="33"/>
      <c r="E22" s="33"/>
      <c r="F22" s="33"/>
      <c r="G22" s="33"/>
      <c r="H22" s="33"/>
      <c r="I22" s="34"/>
      <c r="L22" s="33"/>
      <c r="M22" s="35" t="s">
        <v>111</v>
      </c>
      <c r="N22" s="32">
        <v>750</v>
      </c>
      <c r="O22" s="32"/>
      <c r="P22" s="32"/>
      <c r="Q22" s="32"/>
      <c r="R22" s="32">
        <v>750</v>
      </c>
      <c r="S22" s="33"/>
      <c r="T22" s="33"/>
      <c r="U22" s="33"/>
    </row>
    <row r="23" spans="1:21" x14ac:dyDescent="0.3">
      <c r="A23" s="35" t="s">
        <v>101</v>
      </c>
      <c r="B23" s="32">
        <v>4200</v>
      </c>
      <c r="C23" s="33"/>
      <c r="D23" s="33"/>
      <c r="E23" s="33"/>
      <c r="F23" s="33"/>
      <c r="G23" s="33"/>
      <c r="H23" s="33"/>
      <c r="I23" s="34"/>
      <c r="L23" s="33"/>
      <c r="M23" s="35" t="s">
        <v>142</v>
      </c>
      <c r="N23" s="32">
        <v>9000</v>
      </c>
      <c r="O23" s="32"/>
      <c r="P23" s="32"/>
      <c r="Q23" s="32"/>
      <c r="R23" s="32">
        <v>9000</v>
      </c>
      <c r="S23" s="33"/>
      <c r="T23" s="33"/>
      <c r="U23" s="33"/>
    </row>
    <row r="24" spans="1:21" x14ac:dyDescent="0.3">
      <c r="A24" s="35" t="s">
        <v>120</v>
      </c>
      <c r="B24" s="32">
        <v>24278</v>
      </c>
      <c r="C24" s="33"/>
      <c r="D24" s="33"/>
      <c r="E24" s="33"/>
      <c r="F24" s="33"/>
      <c r="G24" s="33"/>
      <c r="H24" s="33"/>
      <c r="I24" s="34"/>
      <c r="L24" s="33"/>
      <c r="M24" s="35" t="s">
        <v>143</v>
      </c>
      <c r="N24" s="32"/>
      <c r="O24" s="32"/>
      <c r="P24" s="32">
        <v>2528</v>
      </c>
      <c r="Q24" s="32"/>
      <c r="R24" s="32">
        <v>2528</v>
      </c>
      <c r="S24" s="33"/>
      <c r="T24" s="33"/>
      <c r="U24" s="33"/>
    </row>
    <row r="25" spans="1:21" x14ac:dyDescent="0.3">
      <c r="A25" s="36"/>
      <c r="B25" s="33"/>
      <c r="C25" s="33"/>
      <c r="D25" s="33"/>
      <c r="E25" s="33"/>
      <c r="F25" s="33"/>
      <c r="G25" s="33"/>
      <c r="H25" s="33"/>
      <c r="I25" s="34"/>
      <c r="L25" s="33"/>
      <c r="M25" s="35" t="s">
        <v>120</v>
      </c>
      <c r="N25" s="32">
        <v>12150</v>
      </c>
      <c r="O25" s="32">
        <v>5400</v>
      </c>
      <c r="P25" s="32">
        <v>2528</v>
      </c>
      <c r="Q25" s="32">
        <v>4200</v>
      </c>
      <c r="R25" s="32">
        <v>24278</v>
      </c>
      <c r="S25" s="33"/>
      <c r="T25" s="33"/>
      <c r="U25" s="33"/>
    </row>
    <row r="26" spans="1:21" x14ac:dyDescent="0.3">
      <c r="A26" s="36"/>
      <c r="B26" s="33"/>
      <c r="C26" s="33"/>
      <c r="D26" s="33"/>
      <c r="E26" s="33"/>
      <c r="F26" s="33"/>
      <c r="G26" s="33"/>
      <c r="H26" s="33"/>
      <c r="I26" s="34"/>
      <c r="L26" s="33"/>
      <c r="M26" s="33"/>
      <c r="N26" s="33"/>
      <c r="O26" s="33"/>
      <c r="P26" s="33"/>
      <c r="Q26" s="33"/>
      <c r="R26" s="33"/>
      <c r="S26" s="33"/>
      <c r="T26" s="33"/>
      <c r="U26" s="33"/>
    </row>
    <row r="27" spans="1:21" x14ac:dyDescent="0.3">
      <c r="A27" s="36"/>
      <c r="B27" s="33"/>
      <c r="C27" s="33"/>
      <c r="D27" s="33"/>
      <c r="E27" s="33"/>
      <c r="F27" s="33"/>
      <c r="G27" s="33"/>
      <c r="H27" s="33"/>
      <c r="I27" s="34"/>
      <c r="L27" s="33"/>
      <c r="M27" s="33"/>
      <c r="N27" s="33"/>
      <c r="O27" s="33"/>
      <c r="P27" s="33"/>
      <c r="Q27" s="33"/>
      <c r="R27" s="33"/>
      <c r="S27" s="33"/>
      <c r="T27" s="33"/>
      <c r="U27" s="33"/>
    </row>
    <row r="28" spans="1:21" x14ac:dyDescent="0.3">
      <c r="A28" s="51" t="s">
        <v>127</v>
      </c>
      <c r="B28" s="52"/>
      <c r="C28" s="33"/>
      <c r="D28" s="33"/>
      <c r="E28" s="33"/>
      <c r="F28" s="33"/>
      <c r="G28" s="33"/>
      <c r="H28" s="33"/>
      <c r="I28" s="34"/>
      <c r="L28" s="33"/>
      <c r="M28" s="33"/>
      <c r="N28" s="33"/>
      <c r="O28" s="33"/>
      <c r="P28" s="33"/>
      <c r="Q28" s="33"/>
      <c r="R28" s="33"/>
      <c r="S28" s="57" t="s">
        <v>146</v>
      </c>
      <c r="T28" s="58"/>
      <c r="U28" s="33"/>
    </row>
    <row r="29" spans="1:21" x14ac:dyDescent="0.3">
      <c r="A29" s="53"/>
      <c r="B29" s="54"/>
      <c r="C29" s="33"/>
      <c r="D29" s="33"/>
      <c r="E29" s="33"/>
      <c r="F29" s="33"/>
      <c r="G29" s="33"/>
      <c r="H29" s="33"/>
      <c r="I29" s="34"/>
      <c r="L29" s="33"/>
      <c r="M29" s="33"/>
      <c r="N29" s="33"/>
      <c r="O29" s="33"/>
      <c r="P29" s="33"/>
      <c r="Q29" s="33"/>
      <c r="R29" s="33"/>
      <c r="S29" s="59"/>
      <c r="T29" s="60"/>
      <c r="U29" s="33"/>
    </row>
    <row r="30" spans="1:21" x14ac:dyDescent="0.3">
      <c r="A30" s="55"/>
      <c r="B30" s="56"/>
      <c r="C30" s="33"/>
      <c r="D30" s="33"/>
      <c r="E30" s="33"/>
      <c r="F30" s="33"/>
      <c r="G30" s="33"/>
      <c r="H30" s="33"/>
      <c r="I30" s="34"/>
      <c r="L30" s="33"/>
      <c r="M30" s="33"/>
      <c r="N30" s="33"/>
      <c r="O30" s="33"/>
      <c r="P30" s="33"/>
      <c r="Q30" s="33"/>
      <c r="R30" s="33"/>
      <c r="S30" s="59"/>
      <c r="T30" s="60"/>
      <c r="U30" s="33"/>
    </row>
    <row r="31" spans="1:21" x14ac:dyDescent="0.3">
      <c r="A31" s="36"/>
      <c r="B31" s="33"/>
      <c r="C31" s="33"/>
      <c r="D31" s="33"/>
      <c r="E31" s="33"/>
      <c r="F31" s="33"/>
      <c r="G31" s="33"/>
      <c r="H31" s="33"/>
      <c r="I31" s="34"/>
      <c r="L31" s="33"/>
      <c r="M31" s="33"/>
      <c r="N31" s="33"/>
      <c r="O31" s="33"/>
      <c r="P31" s="33"/>
      <c r="Q31" s="33"/>
      <c r="R31" s="33"/>
      <c r="S31" s="59"/>
      <c r="T31" s="60"/>
      <c r="U31" s="33"/>
    </row>
    <row r="32" spans="1:21" x14ac:dyDescent="0.3">
      <c r="A32" s="36"/>
      <c r="B32" s="33"/>
      <c r="C32" s="33"/>
      <c r="D32" s="33"/>
      <c r="E32" s="33"/>
      <c r="F32" s="33"/>
      <c r="G32" s="33"/>
      <c r="H32" s="33"/>
      <c r="I32" s="34"/>
      <c r="L32" s="33"/>
      <c r="M32" s="33"/>
      <c r="N32" s="33"/>
      <c r="O32" s="33"/>
      <c r="P32" s="33"/>
      <c r="Q32" s="33"/>
      <c r="R32" s="33"/>
      <c r="S32" s="59"/>
      <c r="T32" s="60"/>
      <c r="U32" s="33"/>
    </row>
    <row r="33" spans="1:21" x14ac:dyDescent="0.3">
      <c r="A33" s="37"/>
      <c r="B33" s="38"/>
      <c r="C33" s="38"/>
      <c r="D33" s="38"/>
      <c r="E33" s="38"/>
      <c r="F33" s="38"/>
      <c r="G33" s="38"/>
      <c r="H33" s="38"/>
      <c r="I33" s="39"/>
      <c r="L33" s="33"/>
      <c r="M33" s="33"/>
      <c r="N33" s="33"/>
      <c r="O33" s="33"/>
      <c r="P33" s="33"/>
      <c r="Q33" s="33"/>
      <c r="R33" s="33"/>
      <c r="S33" s="59"/>
      <c r="T33" s="60"/>
      <c r="U33" s="33"/>
    </row>
    <row r="34" spans="1:21" x14ac:dyDescent="0.3">
      <c r="L34" s="33"/>
      <c r="M34" s="33"/>
      <c r="N34" s="33"/>
      <c r="O34" s="33"/>
      <c r="P34" s="33"/>
      <c r="Q34" s="33"/>
      <c r="R34" s="33"/>
      <c r="S34" s="59"/>
      <c r="T34" s="60"/>
      <c r="U34" s="33"/>
    </row>
    <row r="35" spans="1:21" x14ac:dyDescent="0.3">
      <c r="L35" s="33"/>
      <c r="M35" s="33"/>
      <c r="N35" s="33"/>
      <c r="O35" s="33"/>
      <c r="P35" s="33"/>
      <c r="Q35" s="33"/>
      <c r="R35" s="33"/>
      <c r="S35" s="59"/>
      <c r="T35" s="60"/>
      <c r="U35" s="33"/>
    </row>
    <row r="36" spans="1:21" x14ac:dyDescent="0.3">
      <c r="L36" s="33"/>
      <c r="M36" s="33"/>
      <c r="N36" s="33"/>
      <c r="O36" s="33"/>
      <c r="P36" s="33"/>
      <c r="Q36" s="33"/>
      <c r="R36" s="33"/>
      <c r="S36" s="61"/>
      <c r="T36" s="62"/>
      <c r="U36" s="33"/>
    </row>
    <row r="37" spans="1:21" x14ac:dyDescent="0.3">
      <c r="L37" s="33"/>
      <c r="M37" s="33"/>
      <c r="N37" s="33"/>
      <c r="O37" s="33"/>
      <c r="P37" s="33"/>
      <c r="Q37" s="33"/>
      <c r="R37" s="33"/>
      <c r="S37" s="33"/>
      <c r="T37" s="33"/>
      <c r="U37" s="33"/>
    </row>
    <row r="38" spans="1:21" x14ac:dyDescent="0.3">
      <c r="L38" s="33"/>
      <c r="M38" s="33"/>
      <c r="N38" s="33"/>
      <c r="O38" s="33"/>
      <c r="P38" s="33"/>
      <c r="Q38" s="33"/>
      <c r="R38" s="33"/>
      <c r="S38" s="33"/>
      <c r="T38" s="33"/>
      <c r="U38" s="33"/>
    </row>
    <row r="39" spans="1:21" x14ac:dyDescent="0.3">
      <c r="L39" s="33"/>
      <c r="M39" s="33"/>
      <c r="N39" s="33"/>
      <c r="O39" s="33"/>
      <c r="P39" s="33"/>
      <c r="Q39" s="33"/>
      <c r="R39" s="33"/>
      <c r="S39" s="33"/>
      <c r="T39" s="33"/>
      <c r="U39" s="33"/>
    </row>
    <row r="40" spans="1:21" x14ac:dyDescent="0.3">
      <c r="L40" s="33"/>
      <c r="M40" s="33"/>
      <c r="N40" s="33"/>
      <c r="O40" s="33"/>
      <c r="P40" s="33"/>
      <c r="Q40" s="33"/>
      <c r="R40" s="33"/>
      <c r="S40" s="33"/>
      <c r="T40" s="33"/>
      <c r="U40" s="33"/>
    </row>
    <row r="41" spans="1:21" x14ac:dyDescent="0.3">
      <c r="L41" s="33"/>
      <c r="M41" s="33"/>
      <c r="N41" s="33"/>
      <c r="O41" s="33"/>
      <c r="P41" s="33"/>
      <c r="Q41" s="33"/>
      <c r="R41" s="33"/>
      <c r="S41" s="33"/>
      <c r="T41" s="33"/>
      <c r="U41" s="33"/>
    </row>
  </sheetData>
  <mergeCells count="4">
    <mergeCell ref="A13:B14"/>
    <mergeCell ref="A28:B30"/>
    <mergeCell ref="M13:N15"/>
    <mergeCell ref="S28:T36"/>
  </mergeCells>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3B2D9-FE79-4005-A400-4540135C78B2}">
  <dimension ref="A1"/>
  <sheetViews>
    <sheetView showGridLines="0" workbookViewId="0">
      <selection activeCell="U11" sqref="U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23585-C055-4FD0-A59F-AA06C5ADC27B}">
  <dimension ref="A1:A8"/>
  <sheetViews>
    <sheetView tabSelected="1" workbookViewId="0">
      <selection activeCell="A6" sqref="A6"/>
    </sheetView>
  </sheetViews>
  <sheetFormatPr defaultRowHeight="14.4" x14ac:dyDescent="0.3"/>
  <cols>
    <col min="1" max="1" width="145.109375" bestFit="1" customWidth="1"/>
  </cols>
  <sheetData>
    <row r="1" spans="1:1" ht="18.600000000000001" x14ac:dyDescent="0.3">
      <c r="A1" s="63" t="s">
        <v>147</v>
      </c>
    </row>
    <row r="2" spans="1:1" x14ac:dyDescent="0.3">
      <c r="A2" s="64" t="s">
        <v>150</v>
      </c>
    </row>
    <row r="3" spans="1:1" x14ac:dyDescent="0.3">
      <c r="A3" s="65"/>
    </row>
    <row r="4" spans="1:1" ht="18.600000000000001" x14ac:dyDescent="0.3">
      <c r="A4" s="63" t="s">
        <v>148</v>
      </c>
    </row>
    <row r="5" spans="1:1" x14ac:dyDescent="0.3">
      <c r="A5" s="64" t="s">
        <v>152</v>
      </c>
    </row>
    <row r="6" spans="1:1" x14ac:dyDescent="0.3">
      <c r="A6" s="65"/>
    </row>
    <row r="7" spans="1:1" ht="18.600000000000001" x14ac:dyDescent="0.3">
      <c r="A7" s="63" t="s">
        <v>149</v>
      </c>
    </row>
    <row r="8" spans="1:1" x14ac:dyDescent="0.3">
      <c r="A8" s="64"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vt:lpstr>
      <vt:lpstr>Products</vt:lpstr>
      <vt:lpstr>Regions</vt:lpstr>
      <vt:lpstr>TOTAL SALES</vt:lpstr>
      <vt:lpstr>Pivot Tables</vt:lpstr>
      <vt:lpstr>Dashboard</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Arjun Ajikumar</cp:lastModifiedBy>
  <cp:revision>0</cp:revision>
  <dcterms:created xsi:type="dcterms:W3CDTF">2026-05-09T17:57:12Z</dcterms:created>
  <dcterms:modified xsi:type="dcterms:W3CDTF">2026-05-11T16:27:44Z</dcterms:modified>
  <dc:language>en-US</dc:language>
</cp:coreProperties>
</file>